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Board (by rank)" sheetId="1" r:id="rId5"/>
    <sheet state="visible" name="Big Board (by pick)" sheetId="2" r:id="rId6"/>
    <sheet state="visible" name="Selections" sheetId="3" r:id="rId7"/>
    <sheet state="hidden" name="Team Names" sheetId="4" r:id="rId8"/>
    <sheet state="hidden" name="Bigger Board" sheetId="5" r:id="rId9"/>
    <sheet state="hidden" name="Pick by Pick Grades" sheetId="6" r:id="rId10"/>
    <sheet state="hidden" name="Team Grades" sheetId="7" r:id="rId11"/>
  </sheets>
  <definedNames>
    <definedName hidden="1" localSheetId="0" name="_xlnm._FilterDatabase">'Big Board (by rank)'!$A$4:$J$332</definedName>
    <definedName hidden="1" localSheetId="5" name="_xlnm._FilterDatabase">'Pick by Pick Grades'!$A$1:$U$262</definedName>
    <definedName hidden="1" localSheetId="6" name="_xlnm._FilterDatabase">'Team Grades'!$A$1:$G$33</definedName>
  </definedNames>
  <calcPr/>
</workbook>
</file>

<file path=xl/sharedStrings.xml><?xml version="1.0" encoding="utf-8"?>
<sst xmlns="http://schemas.openxmlformats.org/spreadsheetml/2006/main" count="5119" uniqueCount="1084">
  <si>
    <t>Wide Left Consensus Big Board</t>
  </si>
  <si>
    <t>Compiled by Arif Hasan (@ArifHasanNFL)</t>
  </si>
  <si>
    <r>
      <rPr>
        <rFont val="Arial, sans-serif"/>
        <b/>
        <color rgb="FFFFFFFF"/>
        <sz val="9.0"/>
      </rPr>
      <t xml:space="preserve">Find out more at </t>
    </r>
    <r>
      <rPr>
        <rFont val="Arial, sans-serif"/>
        <b/>
        <color rgb="FF1155CC"/>
        <sz val="9.0"/>
        <u/>
      </rPr>
      <t>wideleft.football</t>
    </r>
  </si>
  <si>
    <t>Ovr</t>
  </si>
  <si>
    <t>Fore</t>
  </si>
  <si>
    <t>Eval</t>
  </si>
  <si>
    <t>Player</t>
  </si>
  <si>
    <t>School</t>
  </si>
  <si>
    <t>Position</t>
  </si>
  <si>
    <t>Pos Rk</t>
  </si>
  <si>
    <t>Variance</t>
  </si>
  <si>
    <t>Pick</t>
  </si>
  <si>
    <t>Team</t>
  </si>
  <si>
    <t>Fernando Mendoza</t>
  </si>
  <si>
    <t>Indiana</t>
  </si>
  <si>
    <t>QB</t>
  </si>
  <si>
    <t>Las Vegas Raiders</t>
  </si>
  <si>
    <t>Arvell Reese</t>
  </si>
  <si>
    <t>Ohio State</t>
  </si>
  <si>
    <t>LB</t>
  </si>
  <si>
    <t>New York Giants</t>
  </si>
  <si>
    <t>Jeremiyah Love</t>
  </si>
  <si>
    <t>Notre Dame</t>
  </si>
  <si>
    <t>RB</t>
  </si>
  <si>
    <t>Arizona Cardinals</t>
  </si>
  <si>
    <t>Caleb Downs</t>
  </si>
  <si>
    <t>S</t>
  </si>
  <si>
    <t>Dallas Cowboys</t>
  </si>
  <si>
    <t>Sonny Styles</t>
  </si>
  <si>
    <t>Washington Commanders</t>
  </si>
  <si>
    <t>Rueben Bain Jr.</t>
  </si>
  <si>
    <t>Miami (FL)</t>
  </si>
  <si>
    <t>EDGE</t>
  </si>
  <si>
    <t>Tampa Bay Buccaneers</t>
  </si>
  <si>
    <t>David Bailey</t>
  </si>
  <si>
    <t>Texas Tech</t>
  </si>
  <si>
    <t>New York Jets</t>
  </si>
  <si>
    <t>Francis Mauigoa</t>
  </si>
  <si>
    <t>OT</t>
  </si>
  <si>
    <t>Carnell Tate</t>
  </si>
  <si>
    <t>WR</t>
  </si>
  <si>
    <t>Tennessee Titans</t>
  </si>
  <si>
    <t>Mansoor Delane</t>
  </si>
  <si>
    <t>LSU</t>
  </si>
  <si>
    <t>CB</t>
  </si>
  <si>
    <t>Kansas City Chiefs</t>
  </si>
  <si>
    <t>Spencer Fano</t>
  </si>
  <si>
    <t>Utah</t>
  </si>
  <si>
    <t>Cleveland Browns</t>
  </si>
  <si>
    <t>Makai Lemon</t>
  </si>
  <si>
    <t>USC</t>
  </si>
  <si>
    <t>Philadelphia Eagles</t>
  </si>
  <si>
    <t>Olaivavega Ioane</t>
  </si>
  <si>
    <t>Penn State</t>
  </si>
  <si>
    <t>OG</t>
  </si>
  <si>
    <t>Baltimore Ravens</t>
  </si>
  <si>
    <t>Jermod McCoy</t>
  </si>
  <si>
    <t>Tennessee</t>
  </si>
  <si>
    <t>Jordyn Tyson</t>
  </si>
  <si>
    <t>Arizona State</t>
  </si>
  <si>
    <t>New Orleans Saints</t>
  </si>
  <si>
    <t>Kenyon Sadiq</t>
  </si>
  <si>
    <t>Oregon</t>
  </si>
  <si>
    <t>TE</t>
  </si>
  <si>
    <t>Dillon Thieneman</t>
  </si>
  <si>
    <t>Chicago Bears</t>
  </si>
  <si>
    <t>Monroe Freeling</t>
  </si>
  <si>
    <t>Georgia</t>
  </si>
  <si>
    <t>Carolina Panthers</t>
  </si>
  <si>
    <t>Kadyn Proctor</t>
  </si>
  <si>
    <t>Alabama</t>
  </si>
  <si>
    <t>Miami Dolphins</t>
  </si>
  <si>
    <t>Keldric Faulk</t>
  </si>
  <si>
    <t>Auburn</t>
  </si>
  <si>
    <t>Avieon Terrell</t>
  </si>
  <si>
    <t>Clemson</t>
  </si>
  <si>
    <t>Atlanta Falcons</t>
  </si>
  <si>
    <t>Akheem Mesidor</t>
  </si>
  <si>
    <t>Los Angeles Chargers</t>
  </si>
  <si>
    <t>KC Concepcion</t>
  </si>
  <si>
    <t>Texas A&amp;M</t>
  </si>
  <si>
    <t>Emmanuel McNeil-Warren</t>
  </si>
  <si>
    <t>Toledo</t>
  </si>
  <si>
    <t>Omar Cooper Jr.</t>
  </si>
  <si>
    <t>Peter Woods</t>
  </si>
  <si>
    <t>DL3T</t>
  </si>
  <si>
    <t>Denzel Boston</t>
  </si>
  <si>
    <t>Washington</t>
  </si>
  <si>
    <t>Caleb Lomu</t>
  </si>
  <si>
    <t>New England Patriots</t>
  </si>
  <si>
    <t>Kayden McDonald</t>
  </si>
  <si>
    <t>DL1T</t>
  </si>
  <si>
    <t>Houston Texans</t>
  </si>
  <si>
    <t>T.J. Parker</t>
  </si>
  <si>
    <t>Buffalo Bills</t>
  </si>
  <si>
    <t>Blake Miller</t>
  </si>
  <si>
    <t>Detroit Lions</t>
  </si>
  <si>
    <t>Colton Hood</t>
  </si>
  <si>
    <t>Max Iheanachor</t>
  </si>
  <si>
    <t>Pittsburgh Steelers</t>
  </si>
  <si>
    <t>Chris Johnson</t>
  </si>
  <si>
    <t>San Diego State</t>
  </si>
  <si>
    <t>CJ Allen</t>
  </si>
  <si>
    <t>Indianapolis Colts</t>
  </si>
  <si>
    <t>Cashius Howell</t>
  </si>
  <si>
    <t>Cincinnati Bengals</t>
  </si>
  <si>
    <t>Caleb Banks</t>
  </si>
  <si>
    <t>Florida</t>
  </si>
  <si>
    <t>Minnesota Vikings</t>
  </si>
  <si>
    <t>Ty Simpson</t>
  </si>
  <si>
    <t>Los Angeles Rams</t>
  </si>
  <si>
    <t>Zion Young</t>
  </si>
  <si>
    <t>Missouri</t>
  </si>
  <si>
    <t>D'Angelo Ponds</t>
  </si>
  <si>
    <t>Emmanuel Pregnon</t>
  </si>
  <si>
    <t>Jacksonville Jaguars</t>
  </si>
  <si>
    <t>Christen Miller</t>
  </si>
  <si>
    <t>Jacob Rodriguez</t>
  </si>
  <si>
    <t>Brandon Cisse</t>
  </si>
  <si>
    <t>South Carolina</t>
  </si>
  <si>
    <t>Green Bay Packers</t>
  </si>
  <si>
    <t>Lee Hunter</t>
  </si>
  <si>
    <t>Chase Bisontis</t>
  </si>
  <si>
    <t>R Mason Thomas</t>
  </si>
  <si>
    <t>Oklahoma</t>
  </si>
  <si>
    <t>Malachi Lawrence</t>
  </si>
  <si>
    <t>UCF</t>
  </si>
  <si>
    <t>Anthony Hill Jr.</t>
  </si>
  <si>
    <t>Texas</t>
  </si>
  <si>
    <t>Gabe Jacas</t>
  </si>
  <si>
    <t>Illinois</t>
  </si>
  <si>
    <t>Germie Bernard</t>
  </si>
  <si>
    <t>Jake Golday</t>
  </si>
  <si>
    <t>Cincinnati</t>
  </si>
  <si>
    <t>Jadarian Price</t>
  </si>
  <si>
    <t>Seattle Seahawks</t>
  </si>
  <si>
    <t>Chris Bell</t>
  </si>
  <si>
    <t>Louisville</t>
  </si>
  <si>
    <t>Keionte Scott</t>
  </si>
  <si>
    <t>A.J. Haulcy</t>
  </si>
  <si>
    <t>Chris Brazzell II</t>
  </si>
  <si>
    <t>Eli Stowers</t>
  </si>
  <si>
    <t>Vanderbilt</t>
  </si>
  <si>
    <t>Keylan Rutledge</t>
  </si>
  <si>
    <t>Georgia Tech</t>
  </si>
  <si>
    <t>Treydan Stukes</t>
  </si>
  <si>
    <t>Arizona</t>
  </si>
  <si>
    <t>Keith Abney II</t>
  </si>
  <si>
    <t>Josiah Trotter</t>
  </si>
  <si>
    <t>Derrick Moore</t>
  </si>
  <si>
    <t>Michigan</t>
  </si>
  <si>
    <t>Zachariah Branch</t>
  </si>
  <si>
    <t>Gennings Dunker</t>
  </si>
  <si>
    <t>Iowa</t>
  </si>
  <si>
    <t>Antonio Williams</t>
  </si>
  <si>
    <t>Caleb Tiernan</t>
  </si>
  <si>
    <t>Northwestern</t>
  </si>
  <si>
    <t>Kyle Louis</t>
  </si>
  <si>
    <t>Pitt</t>
  </si>
  <si>
    <t>Elijah Sarratt</t>
  </si>
  <si>
    <t>Domonique Orange</t>
  </si>
  <si>
    <t>Iowa State</t>
  </si>
  <si>
    <t>Max Klare</t>
  </si>
  <si>
    <t>Dani Dennis-Sutton</t>
  </si>
  <si>
    <t>Malachi Fields</t>
  </si>
  <si>
    <t>Mike Washington Jr.</t>
  </si>
  <si>
    <t>Arkansas</t>
  </si>
  <si>
    <t>Ted Hurst</t>
  </si>
  <si>
    <t>Georgia State</t>
  </si>
  <si>
    <t>Connor Lew</t>
  </si>
  <si>
    <t>OC</t>
  </si>
  <si>
    <t>Joshua Josephs</t>
  </si>
  <si>
    <t>Romello Height</t>
  </si>
  <si>
    <t>San Francisco 49ers</t>
  </si>
  <si>
    <t>Bud Clark</t>
  </si>
  <si>
    <t>TCU</t>
  </si>
  <si>
    <t>Sam Hecht</t>
  </si>
  <si>
    <t>Kansas State</t>
  </si>
  <si>
    <t>Davison Igbinosun</t>
  </si>
  <si>
    <t>Garrett Nussmeier</t>
  </si>
  <si>
    <t>Gracen Halton</t>
  </si>
  <si>
    <t>Skyler Bell</t>
  </si>
  <si>
    <t>UConn</t>
  </si>
  <si>
    <t>Jaishawn Barham</t>
  </si>
  <si>
    <t>Chandler Rivers</t>
  </si>
  <si>
    <t>Duke</t>
  </si>
  <si>
    <t>Bryce Lance</t>
  </si>
  <si>
    <t>NDSU</t>
  </si>
  <si>
    <t>Zakee Wheatley</t>
  </si>
  <si>
    <t>Malik Muhammad</t>
  </si>
  <si>
    <t>Keyron Crawford</t>
  </si>
  <si>
    <t>Jalon Kilgore</t>
  </si>
  <si>
    <t>Kamari Ramsey</t>
  </si>
  <si>
    <t>Jake Slaughter</t>
  </si>
  <si>
    <t>Jonah Coleman</t>
  </si>
  <si>
    <t>Denver Broncos</t>
  </si>
  <si>
    <t>Logan Jones</t>
  </si>
  <si>
    <t>Deion Burks</t>
  </si>
  <si>
    <t>Genesis Smith</t>
  </si>
  <si>
    <t>Darrell Jackson Jr.</t>
  </si>
  <si>
    <t>Florida State</t>
  </si>
  <si>
    <t>De'Zhaun Stribling</t>
  </si>
  <si>
    <t>Ole Miss</t>
  </si>
  <si>
    <t>Emmett Johnson</t>
  </si>
  <si>
    <t>Nebraska</t>
  </si>
  <si>
    <t>Oscar Delp</t>
  </si>
  <si>
    <t>Daylen Everette</t>
  </si>
  <si>
    <t>Sam Roush</t>
  </si>
  <si>
    <t>Stanford</t>
  </si>
  <si>
    <t>Julian Neal</t>
  </si>
  <si>
    <t>Austin Barber</t>
  </si>
  <si>
    <t>Jalen Farmer</t>
  </si>
  <si>
    <t>Kentucky</t>
  </si>
  <si>
    <t>Devin Moore</t>
  </si>
  <si>
    <t>Chris McClellan</t>
  </si>
  <si>
    <t>Brenen Thompson</t>
  </si>
  <si>
    <t>Mississippi State</t>
  </si>
  <si>
    <t>Trey Zuhn III</t>
  </si>
  <si>
    <t>Brian Parker II</t>
  </si>
  <si>
    <t>LT Overton</t>
  </si>
  <si>
    <t>Ja'Kobi Lane</t>
  </si>
  <si>
    <t>Carson Beck</t>
  </si>
  <si>
    <t>Justin Joly</t>
  </si>
  <si>
    <t>NC State</t>
  </si>
  <si>
    <t>Markel Bell</t>
  </si>
  <si>
    <t>Deontae Lawson</t>
  </si>
  <si>
    <t>Michael Trigg</t>
  </si>
  <si>
    <t>Baylor</t>
  </si>
  <si>
    <t>Will Lee III</t>
  </si>
  <si>
    <t>Tacario Davis</t>
  </si>
  <si>
    <t>Drew Allar</t>
  </si>
  <si>
    <t>V.J. Payne</t>
  </si>
  <si>
    <t>Kaleb Proctor</t>
  </si>
  <si>
    <t>SE Louisiana</t>
  </si>
  <si>
    <t>DL5T</t>
  </si>
  <si>
    <t>Dametrious Crownover</t>
  </si>
  <si>
    <t>Billy Schrauth</t>
  </si>
  <si>
    <t>Eli Raridon</t>
  </si>
  <si>
    <t>Cole Payton</t>
  </si>
  <si>
    <t>Jack Endries</t>
  </si>
  <si>
    <t>Tyler Onyedim</t>
  </si>
  <si>
    <t>Kaytron Allen</t>
  </si>
  <si>
    <t>Kage Casey</t>
  </si>
  <si>
    <t>Boise State</t>
  </si>
  <si>
    <t>Jude Bowry</t>
  </si>
  <si>
    <t>Boston College</t>
  </si>
  <si>
    <t>Nick Singleton</t>
  </si>
  <si>
    <t>Keyshaun Elliott</t>
  </si>
  <si>
    <t>Max Llewellyn</t>
  </si>
  <si>
    <t>Travis Burke</t>
  </si>
  <si>
    <t>Memphis</t>
  </si>
  <si>
    <t>Rayshaun Benny</t>
  </si>
  <si>
    <t>Kaleb Elarms-Orr</t>
  </si>
  <si>
    <t>Harold Perkins Jr.</t>
  </si>
  <si>
    <t>Zane Durant</t>
  </si>
  <si>
    <t>Ephesians Prysock</t>
  </si>
  <si>
    <t>Dontay Corleone</t>
  </si>
  <si>
    <t>Jadon Canady</t>
  </si>
  <si>
    <t>Demond Claiborne</t>
  </si>
  <si>
    <t>Wake Forest</t>
  </si>
  <si>
    <t>Michael Taaffe</t>
  </si>
  <si>
    <t>Beau Stephens</t>
  </si>
  <si>
    <t>Bryce Boettcher</t>
  </si>
  <si>
    <t>Taylen Green</t>
  </si>
  <si>
    <t>Aiden Fisher</t>
  </si>
  <si>
    <t>Albert Regis</t>
  </si>
  <si>
    <t>Charles Demmings</t>
  </si>
  <si>
    <t>Stephen F. Austin</t>
  </si>
  <si>
    <t>Kevin Coleman Jr.</t>
  </si>
  <si>
    <t>Tanner Koziol</t>
  </si>
  <si>
    <t>Houston</t>
  </si>
  <si>
    <t>J.C. Davis</t>
  </si>
  <si>
    <t>Zxavian Harris</t>
  </si>
  <si>
    <t>Drew Shelton</t>
  </si>
  <si>
    <t>Isaiah World</t>
  </si>
  <si>
    <t>Marlin Klein</t>
  </si>
  <si>
    <t>Josh Cameron</t>
  </si>
  <si>
    <t>Anthony Lucas</t>
  </si>
  <si>
    <t>Caden Curry</t>
  </si>
  <si>
    <t>Taurean York</t>
  </si>
  <si>
    <t>Nate Boerkircher</t>
  </si>
  <si>
    <t>Keagen Trost</t>
  </si>
  <si>
    <t>Tim Keenan III</t>
  </si>
  <si>
    <t>Hezekiah Masses</t>
  </si>
  <si>
    <t>California</t>
  </si>
  <si>
    <t>Jimmy Rolder</t>
  </si>
  <si>
    <t>Matt Gulbin</t>
  </si>
  <si>
    <t>Michigan State</t>
  </si>
  <si>
    <t>Joe Royer</t>
  </si>
  <si>
    <t>DeMonte Capehart</t>
  </si>
  <si>
    <t>Cade Klubnik</t>
  </si>
  <si>
    <t>Parker Brailsford</t>
  </si>
  <si>
    <t>Dallen Bentley</t>
  </si>
  <si>
    <t>Nick Barrett</t>
  </si>
  <si>
    <t>Diego Pounds</t>
  </si>
  <si>
    <t>Jager Burton</t>
  </si>
  <si>
    <t>Jakobe Thomas</t>
  </si>
  <si>
    <t>Reggie Virgil</t>
  </si>
  <si>
    <t>Nadame Tucker</t>
  </si>
  <si>
    <t>Western Michigan</t>
  </si>
  <si>
    <t>Jeremiah Wright</t>
  </si>
  <si>
    <t>Bishop Fitzgerald</t>
  </si>
  <si>
    <t>Seth McGowan</t>
  </si>
  <si>
    <t>Dae'Quan Wright</t>
  </si>
  <si>
    <t>Cyrus Allen</t>
  </si>
  <si>
    <t>Jeff Caldwell</t>
  </si>
  <si>
    <t>Eric McAlister</t>
  </si>
  <si>
    <t>Jalen Huskey</t>
  </si>
  <si>
    <t>Maryland</t>
  </si>
  <si>
    <t>Mason Reiger</t>
  </si>
  <si>
    <t>Wisconsin</t>
  </si>
  <si>
    <t>Jack Kelly</t>
  </si>
  <si>
    <t>BYU</t>
  </si>
  <si>
    <t>Le'Veon Moss</t>
  </si>
  <si>
    <t>Febechi Nwaiwu</t>
  </si>
  <si>
    <t>Pat Coogan</t>
  </si>
  <si>
    <t>Ar'Maj Reed-Adams</t>
  </si>
  <si>
    <t>Tyreak Sapp</t>
  </si>
  <si>
    <t>DJ Campbell</t>
  </si>
  <si>
    <t>Josh Cuevas</t>
  </si>
  <si>
    <t>Red Murdock</t>
  </si>
  <si>
    <t>Buffalo</t>
  </si>
  <si>
    <t>Justin Jefferson</t>
  </si>
  <si>
    <t>Louis Moore</t>
  </si>
  <si>
    <t>Kendrick Law</t>
  </si>
  <si>
    <t>Eli Heidenreich</t>
  </si>
  <si>
    <t>Navy</t>
  </si>
  <si>
    <t>CJ Daniels</t>
  </si>
  <si>
    <t>Aamil Wagner</t>
  </si>
  <si>
    <t>Adam Randall</t>
  </si>
  <si>
    <t>Will Kacmarek</t>
  </si>
  <si>
    <t>Eric Rivers</t>
  </si>
  <si>
    <t>Trey Moore</t>
  </si>
  <si>
    <t>J'Mari Taylor</t>
  </si>
  <si>
    <t>Virginia</t>
  </si>
  <si>
    <t>TJ Hall</t>
  </si>
  <si>
    <t>Robert Spears-Jennings</t>
  </si>
  <si>
    <t>Domani Jackson</t>
  </si>
  <si>
    <t>Anez Cooper</t>
  </si>
  <si>
    <t>John Michael Gyllenborg</t>
  </si>
  <si>
    <t>Wyoming</t>
  </si>
  <si>
    <t>Kaelon Black</t>
  </si>
  <si>
    <t>Landon Robinson</t>
  </si>
  <si>
    <t>Thaddeus Dixon</t>
  </si>
  <si>
    <t>North Carolina</t>
  </si>
  <si>
    <t>Lander Barton</t>
  </si>
  <si>
    <t>Logan Taylor</t>
  </si>
  <si>
    <t>Caleb Douglas</t>
  </si>
  <si>
    <t>Mikail Kamara</t>
  </si>
  <si>
    <t>Micah Morris</t>
  </si>
  <si>
    <t>Roman Hemby</t>
  </si>
  <si>
    <t>Sawyer Robertson</t>
  </si>
  <si>
    <t>Fa'alili Fa'amoe</t>
  </si>
  <si>
    <t>Jaeden Roberts</t>
  </si>
  <si>
    <t>Dalton Johnson</t>
  </si>
  <si>
    <t>Skyler Gill-Howard</t>
  </si>
  <si>
    <t>Cole Wisniewski</t>
  </si>
  <si>
    <t>Malik Benson</t>
  </si>
  <si>
    <t>Devon Marshall</t>
  </si>
  <si>
    <t>Vincent Anthony Jr.</t>
  </si>
  <si>
    <t>Carver Willis</t>
  </si>
  <si>
    <t>Colbie Young</t>
  </si>
  <si>
    <t>Kendal Daniels</t>
  </si>
  <si>
    <t>George Gumbs Jr.</t>
  </si>
  <si>
    <t>Wesley Williams</t>
  </si>
  <si>
    <t>Collin Wright</t>
  </si>
  <si>
    <t>Logan Fano</t>
  </si>
  <si>
    <t>J. Michael Sturdivant</t>
  </si>
  <si>
    <t>Riley Nowakowski</t>
  </si>
  <si>
    <t>Matthew Hibner</t>
  </si>
  <si>
    <t>SMU</t>
  </si>
  <si>
    <t>Luke Altmyer</t>
  </si>
  <si>
    <t>Fernando Carmona Jr.</t>
  </si>
  <si>
    <t>Jordan van den Berg</t>
  </si>
  <si>
    <t>Jaydn Ott</t>
  </si>
  <si>
    <t>Alex Harkey</t>
  </si>
  <si>
    <t>Eric Gentry</t>
  </si>
  <si>
    <t>Jam Miller</t>
  </si>
  <si>
    <t>Barion Brown</t>
  </si>
  <si>
    <t>Quintayvious Hutchins</t>
  </si>
  <si>
    <t>Robert Henry Jr.</t>
  </si>
  <si>
    <t>UTSA</t>
  </si>
  <si>
    <t>Cameron Ball</t>
  </si>
  <si>
    <t>Kaden Wetjen</t>
  </si>
  <si>
    <t>Brandon Cleveland</t>
  </si>
  <si>
    <t>Xavier Nwankpa</t>
  </si>
  <si>
    <t>Aaron Anderson</t>
  </si>
  <si>
    <t>Tyren Montgomery</t>
  </si>
  <si>
    <t>John Carroll</t>
  </si>
  <si>
    <t>DeShon Singleton</t>
  </si>
  <si>
    <t>Bryson Eason</t>
  </si>
  <si>
    <t>Andre Fuller</t>
  </si>
  <si>
    <t>Chase Roberts</t>
  </si>
  <si>
    <t>Toriano Pride Jr.</t>
  </si>
  <si>
    <t>Lorenzo Styles Jr.</t>
  </si>
  <si>
    <t>Lewis Bond</t>
  </si>
  <si>
    <t>Zavion Thomas</t>
  </si>
  <si>
    <t>Deven Eastern</t>
  </si>
  <si>
    <t>Minnesota</t>
  </si>
  <si>
    <t>Patrick Payton</t>
  </si>
  <si>
    <t>Lake McRee</t>
  </si>
  <si>
    <t>Rene Konga</t>
  </si>
  <si>
    <t>Noah Whittington</t>
  </si>
  <si>
    <t>Rahsul Faison</t>
  </si>
  <si>
    <t>Desmond Reid</t>
  </si>
  <si>
    <t>Jaren Kanak</t>
  </si>
  <si>
    <t>Nolan Rucci</t>
  </si>
  <si>
    <t>Xavian Sorey Jr.</t>
  </si>
  <si>
    <t>Harrison Wallace III</t>
  </si>
  <si>
    <t>Diego Pavia</t>
  </si>
  <si>
    <t>Latrell McCutchin Sr.</t>
  </si>
  <si>
    <t>Haynes King</t>
  </si>
  <si>
    <t>Enrique Cruz Jr.</t>
  </si>
  <si>
    <t>Kansas</t>
  </si>
  <si>
    <t>Wade Woodaz</t>
  </si>
  <si>
    <t>Jordan Hudson</t>
  </si>
  <si>
    <t>Carsen Ryan</t>
  </si>
  <si>
    <t>Jaden Dugger</t>
  </si>
  <si>
    <t>Louisiana</t>
  </si>
  <si>
    <t>Caden Barnett</t>
  </si>
  <si>
    <t>Aaron Graves</t>
  </si>
  <si>
    <t>Dillon Bell</t>
  </si>
  <si>
    <t>David Gusta</t>
  </si>
  <si>
    <t>Michael Heldman</t>
  </si>
  <si>
    <t>Central Michigan</t>
  </si>
  <si>
    <t>Ethan Burke</t>
  </si>
  <si>
    <t>Brent Austin</t>
  </si>
  <si>
    <t>Jalon Daniels</t>
  </si>
  <si>
    <t>Behren Morton</t>
  </si>
  <si>
    <t>James Brockermeyer</t>
  </si>
  <si>
    <t>Scooby Williams</t>
  </si>
  <si>
    <t>Avery Smith</t>
  </si>
  <si>
    <t>Namdi Obiazor</t>
  </si>
  <si>
    <t>Jalen Stroman</t>
  </si>
  <si>
    <t>Jack Pyburn</t>
  </si>
  <si>
    <t>Vinny Anthony II</t>
  </si>
  <si>
    <t>Karson Sharar</t>
  </si>
  <si>
    <t>Keyshawn James-Newby</t>
  </si>
  <si>
    <t>New Mexico</t>
  </si>
  <si>
    <t>Seydou Traore</t>
  </si>
  <si>
    <t>Evan Beerntsen</t>
  </si>
  <si>
    <t>Max Bredeson</t>
  </si>
  <si>
    <t>FB</t>
  </si>
  <si>
    <t>Jackie Marshall</t>
  </si>
  <si>
    <t>Emmanuel Henderson Jr.</t>
  </si>
  <si>
    <t>Jackson Kuwatch</t>
  </si>
  <si>
    <t>Miami (OH)</t>
  </si>
  <si>
    <t>Bobby Jamison-Travis</t>
  </si>
  <si>
    <t>Trey Smack</t>
  </si>
  <si>
    <t>PK</t>
  </si>
  <si>
    <t>Bauer Sharp</t>
  </si>
  <si>
    <t>Uar Bernard</t>
  </si>
  <si>
    <t>Nigeria (IPP)</t>
  </si>
  <si>
    <t>Ryan Eckley</t>
  </si>
  <si>
    <t>P</t>
  </si>
  <si>
    <t>Miles Scott</t>
  </si>
  <si>
    <t>Ethan Onianwa</t>
  </si>
  <si>
    <t>Tyre West</t>
  </si>
  <si>
    <t>Athan Kaliakmanis</t>
  </si>
  <si>
    <t>Rutgers</t>
  </si>
  <si>
    <t>Jayden Williams</t>
  </si>
  <si>
    <t>Tommy Doman</t>
  </si>
  <si>
    <t>Zach Durfee</t>
  </si>
  <si>
    <t>Anterio Thompson</t>
  </si>
  <si>
    <t>Anthony Smith</t>
  </si>
  <si>
    <t>East Carolina</t>
  </si>
  <si>
    <t>Karon Prunty</t>
  </si>
  <si>
    <t>Gavin Gerhardt</t>
  </si>
  <si>
    <t>Gabriel Rubio</t>
  </si>
  <si>
    <t>C.J. Williams</t>
  </si>
  <si>
    <t>Parker Hughes</t>
  </si>
  <si>
    <t>Middle Tennessee State</t>
  </si>
  <si>
    <t>Michael Dansby</t>
  </si>
  <si>
    <t>Rk</t>
  </si>
  <si>
    <t>Round</t>
  </si>
  <si>
    <t>Pos</t>
  </si>
  <si>
    <t>Rank</t>
  </si>
  <si>
    <t>Pos Rank</t>
  </si>
  <si>
    <t>Joshua Braun</t>
  </si>
  <si>
    <t>Ahmari Harvey</t>
  </si>
  <si>
    <t>D.J. Rogers</t>
  </si>
  <si>
    <t>Chip Trayanum</t>
  </si>
  <si>
    <t>Isaiah Nwokobia</t>
  </si>
  <si>
    <t>R.J. Maryland</t>
  </si>
  <si>
    <t>Nyjalik Kelly</t>
  </si>
  <si>
    <t>Joe Fagnano</t>
  </si>
  <si>
    <t>James Thompson Jr.</t>
  </si>
  <si>
    <t>Miles Kitselman</t>
  </si>
  <si>
    <t>Brett Thorson</t>
  </si>
  <si>
    <t>Josh Moten</t>
  </si>
  <si>
    <t>Southern Miss</t>
  </si>
  <si>
    <t>CJ Donaldson</t>
  </si>
  <si>
    <t>Gary Smith III</t>
  </si>
  <si>
    <t>UCLA</t>
  </si>
  <si>
    <t>Cole Brevard</t>
  </si>
  <si>
    <t>Bryce Foster</t>
  </si>
  <si>
    <t>Tristan Leigh</t>
  </si>
  <si>
    <t>Jaylon Guilbeau</t>
  </si>
  <si>
    <t>Riley Mahlman</t>
  </si>
  <si>
    <t>Alan Herron</t>
  </si>
  <si>
    <t>Terion Stewart</t>
  </si>
  <si>
    <t>Virginia Tech</t>
  </si>
  <si>
    <t>DeVonta Smith</t>
  </si>
  <si>
    <t>Caullin Lacy</t>
  </si>
  <si>
    <t>Ceyair Wright</t>
  </si>
  <si>
    <t>Joey Aguilar</t>
  </si>
  <si>
    <t>Aidan Hubbard</t>
  </si>
  <si>
    <t>Wesley Bissainthe</t>
  </si>
  <si>
    <t>Cian Slone</t>
  </si>
  <si>
    <t>Garrett DiGiorgio</t>
  </si>
  <si>
    <t>Dean Connors</t>
  </si>
  <si>
    <t>Delby Lemieux</t>
  </si>
  <si>
    <t>Dartmouth</t>
  </si>
  <si>
    <t>Lance Mason</t>
  </si>
  <si>
    <t>Marcus Allen</t>
  </si>
  <si>
    <t>Kobe Baynes</t>
  </si>
  <si>
    <t>Khalil Dinkins</t>
  </si>
  <si>
    <t>Wydett Williams Jr.</t>
  </si>
  <si>
    <t>Noah Thomas</t>
  </si>
  <si>
    <t>Eric O'Neill</t>
  </si>
  <si>
    <t>Dane Key</t>
  </si>
  <si>
    <t>Chris Adams</t>
  </si>
  <si>
    <t>Ahmaad Moses</t>
  </si>
  <si>
    <t>Marvin Jones Jr.</t>
  </si>
  <si>
    <t>David Blay Jr.</t>
  </si>
  <si>
    <t>Dominic Zvada</t>
  </si>
  <si>
    <t>Jalen Catalon</t>
  </si>
  <si>
    <t>Mark Gronowski</t>
  </si>
  <si>
    <t>Chris Hilton Jr.</t>
  </si>
  <si>
    <t>TJ Guy</t>
  </si>
  <si>
    <t>Bryan Thomas Jr.</t>
  </si>
  <si>
    <t>Dillon Wade</t>
  </si>
  <si>
    <t>Dan Villari</t>
  </si>
  <si>
    <t>Syracuse</t>
  </si>
  <si>
    <t>Jamal Haynes</t>
  </si>
  <si>
    <t>Jack Velling</t>
  </si>
  <si>
    <t>Jalen Walthall</t>
  </si>
  <si>
    <t>Incarnate Word</t>
  </si>
  <si>
    <t>Jack Strand</t>
  </si>
  <si>
    <t>Minnesota State-Moorhead</t>
  </si>
  <si>
    <t>Romello Brinson</t>
  </si>
  <si>
    <t>Josh Thompson</t>
  </si>
  <si>
    <t>Jeffrey M'Ba</t>
  </si>
  <si>
    <t>Skyler Thomas</t>
  </si>
  <si>
    <t>Oregon State</t>
  </si>
  <si>
    <t>Connor Tollison</t>
  </si>
  <si>
    <t>Miller Moss</t>
  </si>
  <si>
    <t>Micah Pettus</t>
  </si>
  <si>
    <t>Tomas Rimac</t>
  </si>
  <si>
    <t>Damonic Williams</t>
  </si>
  <si>
    <t>Ernest Hausmann</t>
  </si>
  <si>
    <t>Jayden Loving</t>
  </si>
  <si>
    <t>Shad Banks Jr.</t>
  </si>
  <si>
    <t>Josh Gesky</t>
  </si>
  <si>
    <t>Tyreek Chappell</t>
  </si>
  <si>
    <t>Aaron Hall</t>
  </si>
  <si>
    <t>Hank Beatty</t>
  </si>
  <si>
    <t>Jacob Thomas</t>
  </si>
  <si>
    <t>James Madison</t>
  </si>
  <si>
    <t>Drew Stevens</t>
  </si>
  <si>
    <t>Daniel Sobkowicz</t>
  </si>
  <si>
    <t>Illinois State</t>
  </si>
  <si>
    <t>Jeadyn Lukus</t>
  </si>
  <si>
    <t>James Neal</t>
  </si>
  <si>
    <t>Jalen McMurray</t>
  </si>
  <si>
    <t>Ben Bell</t>
  </si>
  <si>
    <t>Fred Davis II</t>
  </si>
  <si>
    <t>DJ Harvey</t>
  </si>
  <si>
    <t>Gavin Ortega</t>
  </si>
  <si>
    <t>Weber State</t>
  </si>
  <si>
    <t>Bryce Phillips</t>
  </si>
  <si>
    <t>Clay Patterson</t>
  </si>
  <si>
    <t>Jerry Wilson</t>
  </si>
  <si>
    <t>Trebor Pena</t>
  </si>
  <si>
    <t>Al'zillion Hamilton</t>
  </si>
  <si>
    <t>Fresno State</t>
  </si>
  <si>
    <t>Isaiah Smith</t>
  </si>
  <si>
    <t>Myles Rowser</t>
  </si>
  <si>
    <t>Wesley Bailey</t>
  </si>
  <si>
    <t>DQ Smith</t>
  </si>
  <si>
    <t>Jack Stonehouse</t>
  </si>
  <si>
    <t>Devan Boykin</t>
  </si>
  <si>
    <t>Keelan Marion</t>
  </si>
  <si>
    <t>Erick Hunter</t>
  </si>
  <si>
    <t>Morgan State</t>
  </si>
  <si>
    <t>Omar Aigbedion</t>
  </si>
  <si>
    <t>Tommy Castellanos</t>
  </si>
  <si>
    <t>Jake Retzlaff</t>
  </si>
  <si>
    <t>Tulane</t>
  </si>
  <si>
    <t>Luke Petitbon</t>
  </si>
  <si>
    <t>Max Tomczak</t>
  </si>
  <si>
    <t>Youngstown State</t>
  </si>
  <si>
    <t>Davion Carter</t>
  </si>
  <si>
    <t>Joshua Weru</t>
  </si>
  <si>
    <t>Kenya (IPP)</t>
  </si>
  <si>
    <t>Curtis Allen</t>
  </si>
  <si>
    <t>Virginia Union</t>
  </si>
  <si>
    <t>Barika Kpeenu</t>
  </si>
  <si>
    <t>Kejon Owens</t>
  </si>
  <si>
    <t>FIU</t>
  </si>
  <si>
    <t>Stephen Daley</t>
  </si>
  <si>
    <t>Austin Brown</t>
  </si>
  <si>
    <t>Devin Voisin</t>
  </si>
  <si>
    <t>South Alabama</t>
  </si>
  <si>
    <t>Kyron Drones</t>
  </si>
  <si>
    <t>Nick Dawkins</t>
  </si>
  <si>
    <t>West Weeks</t>
  </si>
  <si>
    <t>Cam'Ron Stewart</t>
  </si>
  <si>
    <t>Temple</t>
  </si>
  <si>
    <t>Kapena Gushiken</t>
  </si>
  <si>
    <t>Jordan White</t>
  </si>
  <si>
    <t>Kam Dewberry</t>
  </si>
  <si>
    <t>Donaven McCulley</t>
  </si>
  <si>
    <t>Rohan Jones</t>
  </si>
  <si>
    <t>Cody Hardy</t>
  </si>
  <si>
    <t>Malcolm DeWalt IV</t>
  </si>
  <si>
    <t>Akron</t>
  </si>
  <si>
    <t>Davon Booth</t>
  </si>
  <si>
    <t>Will Pauling</t>
  </si>
  <si>
    <t>Nathan Voorhis</t>
  </si>
  <si>
    <t>Ball State</t>
  </si>
  <si>
    <t>Bakyne Coly</t>
  </si>
  <si>
    <t>Purdue</t>
  </si>
  <si>
    <t>Myles Montgomery</t>
  </si>
  <si>
    <t>Ricardo Hallman</t>
  </si>
  <si>
    <t>Malik Spencer</t>
  </si>
  <si>
    <t>Caden Fordham</t>
  </si>
  <si>
    <t>Keeshawn Silver</t>
  </si>
  <si>
    <t>Terry Webb</t>
  </si>
  <si>
    <t>Star Thomas</t>
  </si>
  <si>
    <t>Cameron Dorner</t>
  </si>
  <si>
    <t>North Texas</t>
  </si>
  <si>
    <t>Nick Andersen</t>
  </si>
  <si>
    <t>Squirrel White</t>
  </si>
  <si>
    <t>Cam Miller</t>
  </si>
  <si>
    <t>Rashad Battle</t>
  </si>
  <si>
    <t>Derek Simmons</t>
  </si>
  <si>
    <t>Damonte Smith</t>
  </si>
  <si>
    <t>Cam Robertson</t>
  </si>
  <si>
    <t>Will Ferrin</t>
  </si>
  <si>
    <t>Mo Westmoreland</t>
  </si>
  <si>
    <t>Eddie Walls III</t>
  </si>
  <si>
    <t>Josiah Green</t>
  </si>
  <si>
    <t>Tanoa Togiai</t>
  </si>
  <si>
    <t>Sebastian Harsh</t>
  </si>
  <si>
    <t>Wes Pahl</t>
  </si>
  <si>
    <t>Oklahoma State</t>
  </si>
  <si>
    <t>Kolbey Taylor</t>
  </si>
  <si>
    <t>Jeff Persi</t>
  </si>
  <si>
    <t>TJ Harden</t>
  </si>
  <si>
    <t>Jack Dingle</t>
  </si>
  <si>
    <t>Jackson Carsello</t>
  </si>
  <si>
    <t>Jack Walsh</t>
  </si>
  <si>
    <t>Jeremiah Franklin</t>
  </si>
  <si>
    <t>Ike Larsen</t>
  </si>
  <si>
    <t>Utah State</t>
  </si>
  <si>
    <t>Jalil Farooq</t>
  </si>
  <si>
    <t>Desmond Purnell</t>
  </si>
  <si>
    <t>Kody Huisman</t>
  </si>
  <si>
    <t>Micah Davey</t>
  </si>
  <si>
    <t>UTEP</t>
  </si>
  <si>
    <t>A'Marion McCoy</t>
  </si>
  <si>
    <t>Amari McNeill</t>
  </si>
  <si>
    <t>Colorado</t>
  </si>
  <si>
    <t>Kahlil Saunders</t>
  </si>
  <si>
    <t>Tawee Walker</t>
  </si>
  <si>
    <t>Joshua Eaton</t>
  </si>
  <si>
    <t>Eli Blakey</t>
  </si>
  <si>
    <t>Brady Wilson</t>
  </si>
  <si>
    <t>Parker Robertson</t>
  </si>
  <si>
    <t>Geno VanDeMark</t>
  </si>
  <si>
    <t>Arden Walker</t>
  </si>
  <si>
    <t>Kahlil Benson</t>
  </si>
  <si>
    <t>Preston Hodge</t>
  </si>
  <si>
    <t>Tony Grimes</t>
  </si>
  <si>
    <t>Blake Cotton</t>
  </si>
  <si>
    <t>Kentrel Bullock</t>
  </si>
  <si>
    <t>Cash Jones</t>
  </si>
  <si>
    <t>Giovanni El-Hadi</t>
  </si>
  <si>
    <t>Xavier Hill</t>
  </si>
  <si>
    <t>Jameson Geers</t>
  </si>
  <si>
    <t>Beau Gardner</t>
  </si>
  <si>
    <t>LS</t>
  </si>
  <si>
    <t>Henry Lutovsky</t>
  </si>
  <si>
    <t>Tanner Arkin</t>
  </si>
  <si>
    <t>Donavon Greene</t>
  </si>
  <si>
    <t>Alex Wollschlaeger</t>
  </si>
  <si>
    <t>Noah Avinger</t>
  </si>
  <si>
    <t>Junior Vandeross III</t>
  </si>
  <si>
    <t>Clayton Smith</t>
  </si>
  <si>
    <t>Tanner Wall</t>
  </si>
  <si>
    <t>Silas Walters</t>
  </si>
  <si>
    <t>Jaren Kump</t>
  </si>
  <si>
    <t>Christian Jones</t>
  </si>
  <si>
    <t>Maverick McIvor</t>
  </si>
  <si>
    <t>Western Kentucky</t>
  </si>
  <si>
    <t>Pete Nygra</t>
  </si>
  <si>
    <t>Dasan McCullough</t>
  </si>
  <si>
    <t>Camden Brown</t>
  </si>
  <si>
    <t>Georgia Southern</t>
  </si>
  <si>
    <t>Collin Matteson</t>
  </si>
  <si>
    <t>Army</t>
  </si>
  <si>
    <t>Gary Bryant Jr.</t>
  </si>
  <si>
    <t>Payton Zdroik</t>
  </si>
  <si>
    <t>Air Force</t>
  </si>
  <si>
    <t>Michael Wortham</t>
  </si>
  <si>
    <t>Montana</t>
  </si>
  <si>
    <t>Michael Coats Jr.</t>
  </si>
  <si>
    <t>West Virginia</t>
  </si>
  <si>
    <t>Mory Bamba</t>
  </si>
  <si>
    <t>Mac Harris</t>
  </si>
  <si>
    <t>South Florida</t>
  </si>
  <si>
    <t>Dayon Hayes</t>
  </si>
  <si>
    <t>Bruno Onwuazor</t>
  </si>
  <si>
    <t>Virginia State</t>
  </si>
  <si>
    <t>Paul Rubelt</t>
  </si>
  <si>
    <t>Dominic Bailey</t>
  </si>
  <si>
    <t>Phillip Dunnam</t>
  </si>
  <si>
    <t>TJ Burke</t>
  </si>
  <si>
    <t>Lehigh</t>
  </si>
  <si>
    <t>Evan Svoboda</t>
  </si>
  <si>
    <t>Matthew Henry</t>
  </si>
  <si>
    <t>AJ Pena</t>
  </si>
  <si>
    <t>Rhode Island</t>
  </si>
  <si>
    <t>Shiyazh Pete</t>
  </si>
  <si>
    <t>Chamon Metayer</t>
  </si>
  <si>
    <t>Khordae Sydnor</t>
  </si>
  <si>
    <t>Tyler Duzansky</t>
  </si>
  <si>
    <t>Isaiah Jatta</t>
  </si>
  <si>
    <t>Jahmeer Carter</t>
  </si>
  <si>
    <t>Louis Hansen</t>
  </si>
  <si>
    <t>Bernard Gooden</t>
  </si>
  <si>
    <t>Ryan Mosesso</t>
  </si>
  <si>
    <t>UMass</t>
  </si>
  <si>
    <t>Carlos Allen Jr.</t>
  </si>
  <si>
    <t>Kevin Jobity Jr.</t>
  </si>
  <si>
    <t>Miles Davis</t>
  </si>
  <si>
    <t>Jacobian Guillory II</t>
  </si>
  <si>
    <t>Zaylin Wood</t>
  </si>
  <si>
    <t>Aidan Keanaaina</t>
  </si>
  <si>
    <t>Chad Lindberg</t>
  </si>
  <si>
    <t>Gavin Gibson</t>
  </si>
  <si>
    <t>Nick DeGennaro</t>
  </si>
  <si>
    <t>Liam Brown</t>
  </si>
  <si>
    <t>Jerand Bradley</t>
  </si>
  <si>
    <t>Luke Basso</t>
  </si>
  <si>
    <t>Larry Worth III</t>
  </si>
  <si>
    <t>Shadwel Nkuba II</t>
  </si>
  <si>
    <t>Leshon Williams</t>
  </si>
  <si>
    <t>Sam Hagen</t>
  </si>
  <si>
    <t>South Dakota State</t>
  </si>
  <si>
    <t>Greg Desrosiers Jr.</t>
  </si>
  <si>
    <t>DeCarlos Nicholson</t>
  </si>
  <si>
    <t>O'Mega Blake</t>
  </si>
  <si>
    <t>Brylan Green</t>
  </si>
  <si>
    <t>Liberty</t>
  </si>
  <si>
    <t>Mitchell Melton</t>
  </si>
  <si>
    <t>Raheem Anderson II</t>
  </si>
  <si>
    <t>Mason Randolph</t>
  </si>
  <si>
    <t>Ryan Schernecke</t>
  </si>
  <si>
    <t>Kutztown</t>
  </si>
  <si>
    <t>Ethan Hurkett</t>
  </si>
  <si>
    <t>Ayden Garnes</t>
  </si>
  <si>
    <t>Khalil Jacobs</t>
  </si>
  <si>
    <t>Shyheim Brown</t>
  </si>
  <si>
    <t>Devin Neal</t>
  </si>
  <si>
    <t>Hayden Large</t>
  </si>
  <si>
    <t>Heinrich Haarberg</t>
  </si>
  <si>
    <t>Gabe Blair</t>
  </si>
  <si>
    <t>Jalen Hunt</t>
  </si>
  <si>
    <t>Xavion Alford</t>
  </si>
  <si>
    <t>Noah Short</t>
  </si>
  <si>
    <t>Jalen Jones</t>
  </si>
  <si>
    <t>William &amp; Mary</t>
  </si>
  <si>
    <t>Duce Chestnut</t>
  </si>
  <si>
    <t>Kansei Matsuzawa</t>
  </si>
  <si>
    <t>Hawaii (IPP)</t>
  </si>
  <si>
    <t>Monkell Goodwine</t>
  </si>
  <si>
    <t>Eni Falayi</t>
  </si>
  <si>
    <t>JB Nelson</t>
  </si>
  <si>
    <t>Caleb Offord</t>
  </si>
  <si>
    <t>Kennesaw State</t>
  </si>
  <si>
    <t>Sam Brumfield</t>
  </si>
  <si>
    <t>Shomari Lawrence</t>
  </si>
  <si>
    <t>Missouri State</t>
  </si>
  <si>
    <t>Jacob Spomer</t>
  </si>
  <si>
    <t>Daniel King</t>
  </si>
  <si>
    <t>Daylan Carnell</t>
  </si>
  <si>
    <t>Dominic DeLuca</t>
  </si>
  <si>
    <t>Ja'Mori Maclin</t>
  </si>
  <si>
    <t>DT Sheffield</t>
  </si>
  <si>
    <t>Tucker Large</t>
  </si>
  <si>
    <t>Washington State</t>
  </si>
  <si>
    <t>Gunner Maldonado</t>
  </si>
  <si>
    <t>Declan Williams</t>
  </si>
  <si>
    <t>Jordan Crook</t>
  </si>
  <si>
    <t>Michael Mokofisi</t>
  </si>
  <si>
    <t>Devonte Ross</t>
  </si>
  <si>
    <t>Will OSteen</t>
  </si>
  <si>
    <t>Devin Grant</t>
  </si>
  <si>
    <t>Kaidon Salter</t>
  </si>
  <si>
    <t>Joe Cooper</t>
  </si>
  <si>
    <t>Slippery Rock</t>
  </si>
  <si>
    <t>Alex Afari Jr.</t>
  </si>
  <si>
    <t>Al-Jay Henderson</t>
  </si>
  <si>
    <t>Rocco Spindler</t>
  </si>
  <si>
    <t>Jaden Rios</t>
  </si>
  <si>
    <t>Texas State</t>
  </si>
  <si>
    <t>Amari Niblack</t>
  </si>
  <si>
    <t>EJ Smith</t>
  </si>
  <si>
    <t>Jaden Nixon</t>
  </si>
  <si>
    <t>Malik Rutherford</t>
  </si>
  <si>
    <t>Ja'Qurious Conley</t>
  </si>
  <si>
    <t>Charlotte</t>
  </si>
  <si>
    <t>Kevin Cline</t>
  </si>
  <si>
    <t>Devin Lafayette</t>
  </si>
  <si>
    <t>Troy</t>
  </si>
  <si>
    <t>Jarod Washington</t>
  </si>
  <si>
    <t>South Carolina State</t>
  </si>
  <si>
    <t>Raylen Sharpe</t>
  </si>
  <si>
    <t>Sterling Webb</t>
  </si>
  <si>
    <t>Omari Kelly</t>
  </si>
  <si>
    <t>Corey Rucker</t>
  </si>
  <si>
    <t>Arkansas State</t>
  </si>
  <si>
    <t>Garrison Grimes</t>
  </si>
  <si>
    <t>Ismail Mahdi</t>
  </si>
  <si>
    <t>Sieh Bangura</t>
  </si>
  <si>
    <t>Ohio</t>
  </si>
  <si>
    <t>Bruin Fleischmann</t>
  </si>
  <si>
    <t>Dominic Richardson</t>
  </si>
  <si>
    <t>Tulsa</t>
  </si>
  <si>
    <t>Jacob Clark</t>
  </si>
  <si>
    <t>Kalil Alexander</t>
  </si>
  <si>
    <t>Jakari Foster</t>
  </si>
  <si>
    <t>Louisiana Tech</t>
  </si>
  <si>
    <t>Tywone Malone Jr.</t>
  </si>
  <si>
    <t>Tyce Westland</t>
  </si>
  <si>
    <t>Ricky Freymond</t>
  </si>
  <si>
    <t>Western Colorado</t>
  </si>
  <si>
    <t>Corey Walker</t>
  </si>
  <si>
    <t>Trevonte Sylvester</t>
  </si>
  <si>
    <t>Bradley Weaver</t>
  </si>
  <si>
    <t>Kam Olds</t>
  </si>
  <si>
    <t>Blake Shapen</t>
  </si>
  <si>
    <t>Stephen Hall</t>
  </si>
  <si>
    <t>Bryun Parham</t>
  </si>
  <si>
    <t>Zion Washington</t>
  </si>
  <si>
    <t>Kobe Prentice</t>
  </si>
  <si>
    <t>Dariel Djabome</t>
  </si>
  <si>
    <t>E.J. Williams Jr.</t>
  </si>
  <si>
    <t>T.J. Quinn</t>
  </si>
  <si>
    <t>Omari Evans</t>
  </si>
  <si>
    <t>Keli Lawson</t>
  </si>
  <si>
    <t>Corey Robinson II</t>
  </si>
  <si>
    <t>Javin Wright</t>
  </si>
  <si>
    <t>De'Shawn Rucker</t>
  </si>
  <si>
    <t>Mani Powell</t>
  </si>
  <si>
    <t>Anthony Hankerson</t>
  </si>
  <si>
    <t>Walker Parks</t>
  </si>
  <si>
    <t>Matt Lauter</t>
  </si>
  <si>
    <t>Jeremiah Earby</t>
  </si>
  <si>
    <t>Damon Bankston</t>
  </si>
  <si>
    <t>Nikhai Hill-Green</t>
  </si>
  <si>
    <t>Ka'ena Decambra</t>
  </si>
  <si>
    <t>Devin Mockobee</t>
  </si>
  <si>
    <t>Braylon Braxton</t>
  </si>
  <si>
    <t>Rocco Underwood</t>
  </si>
  <si>
    <t>Reuben Fatheree II</t>
  </si>
  <si>
    <t>Darryl Peterson III</t>
  </si>
  <si>
    <t>Jaden Keller</t>
  </si>
  <si>
    <t>Malik McClain</t>
  </si>
  <si>
    <t>Cole Maynard</t>
  </si>
  <si>
    <t>Drey Norwood</t>
  </si>
  <si>
    <t>Rasheed Miller</t>
  </si>
  <si>
    <t>Izavion Miller</t>
  </si>
  <si>
    <t>Mason Murphy</t>
  </si>
  <si>
    <t>Kyle Dixon</t>
  </si>
  <si>
    <t>Culver-Stockton</t>
  </si>
  <si>
    <t>Devean Deal</t>
  </si>
  <si>
    <t>Jordan Kwiatkowski</t>
  </si>
  <si>
    <t>Logan Diggs</t>
  </si>
  <si>
    <t>Damon Payne Jr.</t>
  </si>
  <si>
    <t>Quinn Urwiler</t>
  </si>
  <si>
    <t>Northern Illinois</t>
  </si>
  <si>
    <t>Joseph Manjack IV</t>
  </si>
  <si>
    <t>Angel Johnson</t>
  </si>
  <si>
    <t>Derek Robertson</t>
  </si>
  <si>
    <t>Monmouth</t>
  </si>
  <si>
    <t>Kani Walker</t>
  </si>
  <si>
    <t>Maximus Pulley</t>
  </si>
  <si>
    <t>Wofford</t>
  </si>
  <si>
    <t>Weylin Lapuaho</t>
  </si>
  <si>
    <t>Middle TN State</t>
  </si>
  <si>
    <t>Ethan Conner</t>
  </si>
  <si>
    <t>Mac Uihlein</t>
  </si>
  <si>
    <t>Kolbe Katsis</t>
  </si>
  <si>
    <t>Northern Arizona</t>
  </si>
  <si>
    <t>Ryan Linthicum</t>
  </si>
  <si>
    <t>Rara Thomas</t>
  </si>
  <si>
    <t>Aidan Bouman</t>
  </si>
  <si>
    <t>South Dakota</t>
  </si>
  <si>
    <t>Jacob De Jesus</t>
  </si>
  <si>
    <t>Preston Stone</t>
  </si>
  <si>
    <t>Lincoln Pare</t>
  </si>
  <si>
    <t>Dylan Rosiek</t>
  </si>
  <si>
    <t>Sean Brown</t>
  </si>
  <si>
    <t>Cam Smith (Marshall)</t>
  </si>
  <si>
    <t>Marshall</t>
  </si>
  <si>
    <t>Jeremiah McClendon</t>
  </si>
  <si>
    <t>Southern Illinois</t>
  </si>
  <si>
    <t>Dontae Balfour</t>
  </si>
  <si>
    <t>Jhalyn Shuler</t>
  </si>
  <si>
    <t>Daniel Hishaw Jr.</t>
  </si>
  <si>
    <t>Jared Dawson</t>
  </si>
  <si>
    <t>Channing Canada</t>
  </si>
  <si>
    <t>Stephen Dix Jr.</t>
  </si>
  <si>
    <t>Laith Marjan</t>
  </si>
  <si>
    <t>Tyler Doty</t>
  </si>
  <si>
    <t>Brendon Lewis</t>
  </si>
  <si>
    <t>Gus Zilinskas</t>
  </si>
  <si>
    <t>Devyn Bobby</t>
  </si>
  <si>
    <t>Gunnar Hansen</t>
  </si>
  <si>
    <t>Gabriel Benyard</t>
  </si>
  <si>
    <t>Austin Leausa</t>
  </si>
  <si>
    <t>Sage Ryan</t>
  </si>
  <si>
    <t>John Ferlmann</t>
  </si>
  <si>
    <t>Austin Blaske</t>
  </si>
  <si>
    <t>Cole Kozlowski</t>
  </si>
  <si>
    <t>Chase Wilson</t>
  </si>
  <si>
    <t>Jordan Pollard</t>
  </si>
  <si>
    <t>San Jose State</t>
  </si>
  <si>
    <t>Jim Bonifas</t>
  </si>
  <si>
    <t>Luke Wysong</t>
  </si>
  <si>
    <t>Kelvin Gilliam Jr.</t>
  </si>
  <si>
    <t>Tre Williams III</t>
  </si>
  <si>
    <t>Albert Reese IV</t>
  </si>
  <si>
    <t>Jake Pope</t>
  </si>
  <si>
    <t>Key Lawrence</t>
  </si>
  <si>
    <t>Joshua Pitsenberger</t>
  </si>
  <si>
    <t>Yale</t>
  </si>
  <si>
    <t>Jeff Yurk</t>
  </si>
  <si>
    <t>Elon</t>
  </si>
  <si>
    <t>Braxton Fely</t>
  </si>
  <si>
    <t>Kris Hutson</t>
  </si>
  <si>
    <t>Aamaris Brown</t>
  </si>
  <si>
    <t>UNLV</t>
  </si>
  <si>
    <t>Prince Dorbah</t>
  </si>
  <si>
    <t>Jahron Manning</t>
  </si>
  <si>
    <t>Devin Bale</t>
  </si>
  <si>
    <t>Jeff Sims</t>
  </si>
  <si>
    <t>Deshawn McKnight</t>
  </si>
  <si>
    <t>Ryan Davis</t>
  </si>
  <si>
    <t>Ty Buchanan</t>
  </si>
  <si>
    <t>Peter Manuma</t>
  </si>
  <si>
    <t>Hawaii</t>
  </si>
  <si>
    <t>Sam Scott</t>
  </si>
  <si>
    <t>Brady Boyd</t>
  </si>
  <si>
    <t>Daniel Rickert</t>
  </si>
  <si>
    <t>Octavian Smith Jr.</t>
  </si>
  <si>
    <t>Trent Hendrick</t>
  </si>
  <si>
    <t>Bangally Kamara</t>
  </si>
  <si>
    <t>Triston Newson</t>
  </si>
  <si>
    <t>Jimari Butler</t>
  </si>
  <si>
    <t>Jayden Ballard</t>
  </si>
  <si>
    <t>Matthew McDoom</t>
  </si>
  <si>
    <t>Bryson Barnes</t>
  </si>
  <si>
    <t>Tyler Miller</t>
  </si>
  <si>
    <t>Caleb Weaver</t>
  </si>
  <si>
    <t>Wesley Grimes</t>
  </si>
  <si>
    <t>Eli Sanders</t>
  </si>
  <si>
    <t>John Miller</t>
  </si>
  <si>
    <t>Andrel Anthony</t>
  </si>
  <si>
    <t>Bruno Fina</t>
  </si>
  <si>
    <t>Theran Johnson</t>
  </si>
  <si>
    <t>Tre Williams</t>
  </si>
  <si>
    <t>Ckelby Givens</t>
  </si>
  <si>
    <t>Southern</t>
  </si>
  <si>
    <t>Michael Otty</t>
  </si>
  <si>
    <t>Bryant</t>
  </si>
  <si>
    <t>Josh Kattus</t>
  </si>
  <si>
    <t>Will Jones II</t>
  </si>
  <si>
    <t>JoJo Evans Jr.</t>
  </si>
  <si>
    <t>Cortez Braham Jr.</t>
  </si>
  <si>
    <t>Jordan Lovett</t>
  </si>
  <si>
    <t>Xavier Williams</t>
  </si>
  <si>
    <t>Marc Stampley II</t>
  </si>
  <si>
    <t>Demarcus Lacey</t>
  </si>
  <si>
    <t>J'Onre Reed</t>
  </si>
  <si>
    <t>Brock Dieu</t>
  </si>
  <si>
    <t>Le'Meke Brockington</t>
  </si>
  <si>
    <t>Lardarius Webb Jr.</t>
  </si>
  <si>
    <t>Rodney Shelley</t>
  </si>
  <si>
    <t>Josh Kreutz</t>
  </si>
  <si>
    <t>Brandon Frazier</t>
  </si>
  <si>
    <t>Zach Barlev</t>
  </si>
  <si>
    <t>Old Dominion</t>
  </si>
  <si>
    <t>Rodney Hammond Jr.</t>
  </si>
  <si>
    <t>Sacramento State</t>
  </si>
  <si>
    <t>Coltin Deery</t>
  </si>
  <si>
    <t>Michael Briscoe</t>
  </si>
  <si>
    <t>Cal Poly</t>
  </si>
  <si>
    <t>Deuce Harmon</t>
  </si>
  <si>
    <t>Jordan Lawson</t>
  </si>
  <si>
    <t>Derrick Graham</t>
  </si>
  <si>
    <t>Reuben Unije</t>
  </si>
  <si>
    <t>Seth Anderson</t>
  </si>
  <si>
    <t>North Dakota</t>
  </si>
  <si>
    <t>Langston Patterson</t>
  </si>
  <si>
    <t>Cam Rice</t>
  </si>
  <si>
    <t>EJ Horton Jr.</t>
  </si>
  <si>
    <t>J.Q. Hardaway</t>
  </si>
  <si>
    <t>JJ Johnson</t>
  </si>
  <si>
    <t>David Reese</t>
  </si>
  <si>
    <t>Tate Hallock</t>
  </si>
  <si>
    <t>Shaleak Knotts</t>
  </si>
  <si>
    <t>Hudson Habermehl</t>
  </si>
  <si>
    <t>Reggie Retzlaff</t>
  </si>
  <si>
    <t>CSU-Pueblo</t>
  </si>
  <si>
    <t>Xavier Holmes</t>
  </si>
  <si>
    <t>Dekel Crowdus</t>
  </si>
  <si>
    <t>Truman Werremeyer</t>
  </si>
  <si>
    <t>Omarion Cooper</t>
  </si>
  <si>
    <t>Treyvhon Saunders</t>
  </si>
  <si>
    <t>Colgate</t>
  </si>
  <si>
    <t>Nasir Bowers</t>
  </si>
  <si>
    <t>Kyre Duplessis</t>
  </si>
  <si>
    <t>Delaware</t>
  </si>
  <si>
    <t>Nyland Green</t>
  </si>
  <si>
    <t>Keaten Wade</t>
  </si>
  <si>
    <t>Clayton Powell-Lee</t>
  </si>
  <si>
    <t>Travis Shaw</t>
  </si>
  <si>
    <t>JoJo Earle</t>
  </si>
  <si>
    <t>Tommy Dunn Jr.</t>
  </si>
  <si>
    <t>Christian Fitzpatrick</t>
  </si>
  <si>
    <t>Kobe Paysour</t>
  </si>
  <si>
    <t>Kevorian Barnes</t>
  </si>
  <si>
    <t>Cam Ross</t>
  </si>
  <si>
    <t>Martez Poynter</t>
  </si>
  <si>
    <t>Jared Brown</t>
  </si>
  <si>
    <t>Pat McMurtrie</t>
  </si>
  <si>
    <t>Justin Pickett</t>
  </si>
  <si>
    <t>Jordan Botelho</t>
  </si>
  <si>
    <t>Niles King</t>
  </si>
  <si>
    <t>Tamatoa McDonough</t>
  </si>
  <si>
    <t>Jordon Simmons</t>
  </si>
  <si>
    <t>Trayvon Rudolph</t>
  </si>
  <si>
    <t>Dylan Hazen</t>
  </si>
  <si>
    <t>Logan Loya</t>
  </si>
  <si>
    <t>Kole Wilson</t>
  </si>
  <si>
    <t>Kenneth Harris</t>
  </si>
  <si>
    <t>Marcus Sanders Jr.</t>
  </si>
  <si>
    <t>Melvin Priestly</t>
  </si>
  <si>
    <t>Roydell Williams</t>
  </si>
  <si>
    <t>Coleman Bennett</t>
  </si>
  <si>
    <t>Trevor Brock</t>
  </si>
  <si>
    <t>DaShawn Jones</t>
  </si>
  <si>
    <t>Mark Petry</t>
  </si>
  <si>
    <t>Zach Calzada</t>
  </si>
  <si>
    <t>Jimmori Robinson</t>
  </si>
  <si>
    <t>Jimto Obidegwu</t>
  </si>
  <si>
    <t>Grayson James</t>
  </si>
  <si>
    <t>Drew Biber</t>
  </si>
  <si>
    <t>DJ Graham II</t>
  </si>
  <si>
    <t>Elijah Herring</t>
  </si>
  <si>
    <t>Jaquez Moore</t>
  </si>
  <si>
    <t>Johncarlos Miller II</t>
  </si>
  <si>
    <t>Tyler Van Dyke</t>
  </si>
  <si>
    <t>Cons</t>
  </si>
  <si>
    <t>Value Spent</t>
  </si>
  <si>
    <t>Value Gained</t>
  </si>
  <si>
    <t>Straight Value</t>
  </si>
  <si>
    <t>Value Mod</t>
  </si>
  <si>
    <t>Pos Mod</t>
  </si>
  <si>
    <t>Need Mod</t>
  </si>
  <si>
    <t>Mod Vl Spt</t>
  </si>
  <si>
    <t>Mod Vl Gn</t>
  </si>
  <si>
    <t>Spend Score</t>
  </si>
  <si>
    <t>Value Score</t>
  </si>
  <si>
    <t>Net Rank</t>
  </si>
  <si>
    <t>Net Score</t>
  </si>
  <si>
    <t>% ROI</t>
  </si>
  <si>
    <t>% Pos</t>
  </si>
  <si>
    <t>% Neg</t>
  </si>
  <si>
    <t>% Wash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</si>
</sst>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2">
    <font>
      <sz val="10.0"/>
      <color rgb="FF000000"/>
      <name val="Arial"/>
      <scheme val="minor"/>
    </font>
    <font>
      <b/>
      <sz val="20.0"/>
      <color rgb="FFFFFFFF"/>
      <name val="Arial"/>
    </font>
    <font>
      <b/>
      <sz val="9.0"/>
      <color rgb="FFFFFFFF"/>
      <name val="Arial"/>
    </font>
    <font>
      <b/>
      <u/>
      <sz val="9.0"/>
      <color rgb="FFFFFFFF"/>
      <name val="Arial"/>
    </font>
    <font>
      <sz val="9.0"/>
      <color rgb="FF000000"/>
      <name val="Arial"/>
    </font>
    <font>
      <b/>
      <sz val="9.0"/>
      <color theme="6"/>
      <name val="Arial"/>
    </font>
    <font>
      <b/>
      <sz val="9.0"/>
      <color rgb="FFFBBC04"/>
      <name val="Arial"/>
    </font>
    <font>
      <sz val="9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2">
    <border/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1" xfId="0" applyAlignment="1" applyBorder="1" applyFont="1" applyNumberForma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3" fontId="4" numFmtId="0" xfId="0" applyAlignment="1" applyFont="1">
      <alignment readingOrder="0" vertical="center"/>
    </xf>
    <xf borderId="0" fillId="3" fontId="4" numFmtId="164" xfId="0" applyAlignment="1" applyFont="1" applyNumberFormat="1">
      <alignment horizontal="center" readingOrder="0" vertical="center"/>
    </xf>
    <xf borderId="0" fillId="3" fontId="4" numFmtId="1" xfId="0" applyAlignment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4" fontId="5" numFmtId="0" xfId="0" applyAlignment="1" applyFill="1" applyFont="1">
      <alignment horizontal="center" readingOrder="0"/>
    </xf>
    <xf borderId="0" fillId="4" fontId="6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5" fontId="9" numFmtId="0" xfId="0" applyAlignment="1" applyFill="1" applyFont="1">
      <alignment vertical="bottom"/>
    </xf>
    <xf borderId="0" fillId="3" fontId="10" numFmtId="0" xfId="0" applyAlignment="1" applyFont="1">
      <alignment horizontal="right" vertical="bottom"/>
    </xf>
    <xf borderId="0" fillId="3" fontId="10" numFmtId="0" xfId="0" applyAlignment="1" applyFont="1">
      <alignment vertical="bottom"/>
    </xf>
    <xf borderId="0" fillId="6" fontId="8" numFmtId="0" xfId="0" applyAlignment="1" applyFill="1" applyFont="1">
      <alignment readingOrder="0"/>
    </xf>
    <xf borderId="0" fillId="5" fontId="8" numFmtId="0" xfId="0" applyAlignment="1" applyFont="1">
      <alignment readingOrder="0"/>
    </xf>
    <xf borderId="0" fillId="0" fontId="8" numFmtId="0" xfId="0" applyFont="1"/>
    <xf borderId="0" fillId="0" fontId="8" numFmtId="165" xfId="0" applyFont="1" applyNumberFormat="1"/>
    <xf borderId="0" fillId="3" fontId="11" numFmtId="165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1514475</xdr:colOff>
      <xdr:row>0</xdr:row>
      <xdr:rowOff>0</xdr:rowOff>
    </xdr:from>
    <xdr:ext cx="828675" cy="828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28675" cy="828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deleft.footbal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38"/>
    <col customWidth="1" min="2" max="2" width="7.0"/>
    <col customWidth="1" min="3" max="3" width="6.88"/>
    <col customWidth="1" min="4" max="4" width="18.5"/>
    <col customWidth="1" min="5" max="5" width="16.75"/>
    <col customWidth="1" min="6" max="6" width="9.63"/>
    <col customWidth="1" min="7" max="7" width="8.88"/>
    <col customWidth="1" min="8" max="8" width="9.88"/>
    <col customWidth="1" min="9" max="9" width="6.88"/>
    <col customWidth="1" min="10" max="10" width="31.0"/>
  </cols>
  <sheetData>
    <row r="1">
      <c r="A1" s="1" t="s">
        <v>0</v>
      </c>
    </row>
    <row r="2" ht="22.5" customHeight="1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4" t="s">
        <v>12</v>
      </c>
    </row>
    <row r="5">
      <c r="A5" s="6">
        <f>SUMIF('Bigger Board'!D:D,D5,'Bigger Board'!A:A)</f>
        <v>1</v>
      </c>
      <c r="B5" s="6">
        <f>SUMIF('Bigger Board'!D:D,D5,'Bigger Board'!B:B)</f>
        <v>1</v>
      </c>
      <c r="C5" s="6">
        <f>SUMIF('Bigger Board'!D:D,D5,'Bigger Board'!C:C)</f>
        <v>1</v>
      </c>
      <c r="D5" s="7" t="s">
        <v>13</v>
      </c>
      <c r="E5" s="7" t="s">
        <v>14</v>
      </c>
      <c r="F5" s="6" t="s">
        <v>15</v>
      </c>
      <c r="G5" s="6">
        <f>SUMIF('Bigger Board'!D:D,D5,'Bigger Board'!G:G)</f>
        <v>1</v>
      </c>
      <c r="H5" s="8">
        <f>SUMIF('Bigger Board'!D:D,D5,'Bigger Board'!H:H)</f>
        <v>99.1</v>
      </c>
      <c r="I5" s="9">
        <v>1.0</v>
      </c>
      <c r="J5" s="8" t="s">
        <v>16</v>
      </c>
    </row>
    <row r="6">
      <c r="A6" s="6">
        <f>SUMIF('Bigger Board'!D:D,D6,'Bigger Board'!A:A)</f>
        <v>2</v>
      </c>
      <c r="B6" s="6">
        <f>SUMIF('Bigger Board'!D:D,D6,'Bigger Board'!B:B)</f>
        <v>2</v>
      </c>
      <c r="C6" s="6">
        <f>SUMIF('Bigger Board'!D:D,D6,'Bigger Board'!C:C)</f>
        <v>3</v>
      </c>
      <c r="D6" s="7" t="s">
        <v>17</v>
      </c>
      <c r="E6" s="7" t="s">
        <v>18</v>
      </c>
      <c r="F6" s="6" t="s">
        <v>19</v>
      </c>
      <c r="G6" s="6">
        <f>SUMIF('Bigger Board'!D:D,D6,'Bigger Board'!G:G)</f>
        <v>1</v>
      </c>
      <c r="H6" s="8">
        <f>SUMIF('Bigger Board'!D:D,D6,'Bigger Board'!H:H)</f>
        <v>75.7</v>
      </c>
      <c r="I6" s="9">
        <v>5.0</v>
      </c>
      <c r="J6" s="8" t="s">
        <v>20</v>
      </c>
    </row>
    <row r="7">
      <c r="A7" s="6">
        <f>SUMIF('Bigger Board'!D:D,D7,'Bigger Board'!A:A)</f>
        <v>3</v>
      </c>
      <c r="B7" s="6">
        <f>SUMIF('Bigger Board'!D:D,D7,'Bigger Board'!B:B)</f>
        <v>3</v>
      </c>
      <c r="C7" s="6">
        <f>SUMIF('Bigger Board'!D:D,D7,'Bigger Board'!C:C)</f>
        <v>2</v>
      </c>
      <c r="D7" s="7" t="s">
        <v>21</v>
      </c>
      <c r="E7" s="7" t="s">
        <v>22</v>
      </c>
      <c r="F7" s="6" t="s">
        <v>23</v>
      </c>
      <c r="G7" s="6">
        <f>SUMIF('Bigger Board'!D:D,D7,'Bigger Board'!G:G)</f>
        <v>1</v>
      </c>
      <c r="H7" s="8">
        <f>SUMIF('Bigger Board'!D:D,D7,'Bigger Board'!H:H)</f>
        <v>76.5</v>
      </c>
      <c r="I7" s="9">
        <v>3.0</v>
      </c>
      <c r="J7" s="8" t="s">
        <v>24</v>
      </c>
    </row>
    <row r="8">
      <c r="A8" s="6">
        <f>SUMIF('Bigger Board'!D:D,D8,'Bigger Board'!A:A)</f>
        <v>4</v>
      </c>
      <c r="B8" s="6">
        <f>SUMIF('Bigger Board'!D:D,D8,'Bigger Board'!B:B)</f>
        <v>5</v>
      </c>
      <c r="C8" s="6">
        <f>SUMIF('Bigger Board'!D:D,D8,'Bigger Board'!C:C)</f>
        <v>4</v>
      </c>
      <c r="D8" s="7" t="s">
        <v>25</v>
      </c>
      <c r="E8" s="7" t="s">
        <v>18</v>
      </c>
      <c r="F8" s="6" t="s">
        <v>26</v>
      </c>
      <c r="G8" s="6">
        <f>SUMIF('Bigger Board'!D:D,D8,'Bigger Board'!G:G)</f>
        <v>1</v>
      </c>
      <c r="H8" s="8">
        <f>SUMIF('Bigger Board'!D:D,D8,'Bigger Board'!H:H)</f>
        <v>79.7</v>
      </c>
      <c r="I8" s="9">
        <v>11.0</v>
      </c>
      <c r="J8" s="8" t="s">
        <v>27</v>
      </c>
    </row>
    <row r="9">
      <c r="A9" s="6">
        <f>SUMIF('Bigger Board'!D:D,D9,'Bigger Board'!A:A)</f>
        <v>5</v>
      </c>
      <c r="B9" s="6">
        <f>SUMIF('Bigger Board'!D:D,D9,'Bigger Board'!B:B)</f>
        <v>6</v>
      </c>
      <c r="C9" s="6">
        <f>SUMIF('Bigger Board'!D:D,D9,'Bigger Board'!C:C)</f>
        <v>5</v>
      </c>
      <c r="D9" s="7" t="s">
        <v>28</v>
      </c>
      <c r="E9" s="7" t="s">
        <v>18</v>
      </c>
      <c r="F9" s="6" t="s">
        <v>19</v>
      </c>
      <c r="G9" s="6">
        <f>SUMIF('Bigger Board'!D:D,D9,'Bigger Board'!G:G)</f>
        <v>2</v>
      </c>
      <c r="H9" s="8">
        <f>SUMIF('Bigger Board'!D:D,D9,'Bigger Board'!H:H)</f>
        <v>76.5</v>
      </c>
      <c r="I9" s="9">
        <v>7.0</v>
      </c>
      <c r="J9" s="8" t="s">
        <v>29</v>
      </c>
    </row>
    <row r="10">
      <c r="A10" s="6">
        <f>SUMIF('Bigger Board'!D:D,D10,'Bigger Board'!A:A)</f>
        <v>6</v>
      </c>
      <c r="B10" s="6">
        <f>SUMIF('Bigger Board'!D:D,D10,'Bigger Board'!B:B)</f>
        <v>8</v>
      </c>
      <c r="C10" s="6">
        <f>SUMIF('Bigger Board'!D:D,D10,'Bigger Board'!C:C)</f>
        <v>6</v>
      </c>
      <c r="D10" s="7" t="s">
        <v>30</v>
      </c>
      <c r="E10" s="7" t="s">
        <v>31</v>
      </c>
      <c r="F10" s="6" t="s">
        <v>32</v>
      </c>
      <c r="G10" s="6">
        <f>SUMIF('Bigger Board'!D:D,D10,'Bigger Board'!G:G)</f>
        <v>1</v>
      </c>
      <c r="H10" s="8">
        <f>SUMIF('Bigger Board'!D:D,D10,'Bigger Board'!H:H)</f>
        <v>84.3</v>
      </c>
      <c r="I10" s="9">
        <v>15.0</v>
      </c>
      <c r="J10" s="8" t="s">
        <v>33</v>
      </c>
    </row>
    <row r="11">
      <c r="A11" s="6">
        <f>SUMIF('Bigger Board'!D:D,D11,'Bigger Board'!A:A)</f>
        <v>7</v>
      </c>
      <c r="B11" s="6">
        <f>SUMIF('Bigger Board'!D:D,D11,'Bigger Board'!B:B)</f>
        <v>4</v>
      </c>
      <c r="C11" s="6">
        <f>SUMIF('Bigger Board'!D:D,D11,'Bigger Board'!C:C)</f>
        <v>7</v>
      </c>
      <c r="D11" s="7" t="s">
        <v>34</v>
      </c>
      <c r="E11" s="7" t="s">
        <v>35</v>
      </c>
      <c r="F11" s="6" t="s">
        <v>32</v>
      </c>
      <c r="G11" s="6">
        <f>SUMIF('Bigger Board'!D:D,D11,'Bigger Board'!G:G)</f>
        <v>2</v>
      </c>
      <c r="H11" s="8">
        <f>SUMIF('Bigger Board'!D:D,D11,'Bigger Board'!H:H)</f>
        <v>86</v>
      </c>
      <c r="I11" s="9">
        <v>2.0</v>
      </c>
      <c r="J11" s="8" t="s">
        <v>36</v>
      </c>
    </row>
    <row r="12">
      <c r="A12" s="6">
        <f>SUMIF('Bigger Board'!D:D,D12,'Bigger Board'!A:A)</f>
        <v>8</v>
      </c>
      <c r="B12" s="6">
        <f>SUMIF('Bigger Board'!D:D,D12,'Bigger Board'!B:B)</f>
        <v>7</v>
      </c>
      <c r="C12" s="6">
        <f>SUMIF('Bigger Board'!D:D,D12,'Bigger Board'!C:C)</f>
        <v>10</v>
      </c>
      <c r="D12" s="7" t="s">
        <v>37</v>
      </c>
      <c r="E12" s="7" t="s">
        <v>31</v>
      </c>
      <c r="F12" s="6" t="s">
        <v>38</v>
      </c>
      <c r="G12" s="6">
        <f>SUMIF('Bigger Board'!D:D,D12,'Bigger Board'!G:G)</f>
        <v>1</v>
      </c>
      <c r="H12" s="8">
        <f>SUMIF('Bigger Board'!D:D,D12,'Bigger Board'!H:H)</f>
        <v>79.2</v>
      </c>
      <c r="I12" s="9">
        <v>10.0</v>
      </c>
      <c r="J12" s="8" t="s">
        <v>20</v>
      </c>
    </row>
    <row r="13">
      <c r="A13" s="6">
        <f>SUMIF('Bigger Board'!D:D,D13,'Bigger Board'!A:A)</f>
        <v>9</v>
      </c>
      <c r="B13" s="6">
        <f>SUMIF('Bigger Board'!D:D,D13,'Bigger Board'!B:B)</f>
        <v>9</v>
      </c>
      <c r="C13" s="6">
        <f>SUMIF('Bigger Board'!D:D,D13,'Bigger Board'!C:C)</f>
        <v>9</v>
      </c>
      <c r="D13" s="7" t="s">
        <v>39</v>
      </c>
      <c r="E13" s="7" t="s">
        <v>18</v>
      </c>
      <c r="F13" s="6" t="s">
        <v>40</v>
      </c>
      <c r="G13" s="6">
        <f>SUMIF('Bigger Board'!D:D,D13,'Bigger Board'!G:G)</f>
        <v>1</v>
      </c>
      <c r="H13" s="8">
        <f>SUMIF('Bigger Board'!D:D,D13,'Bigger Board'!H:H)</f>
        <v>79.2</v>
      </c>
      <c r="I13" s="9">
        <v>4.0</v>
      </c>
      <c r="J13" s="8" t="s">
        <v>41</v>
      </c>
    </row>
    <row r="14">
      <c r="A14" s="6">
        <f>SUMIF('Bigger Board'!D:D,D14,'Bigger Board'!A:A)</f>
        <v>10</v>
      </c>
      <c r="B14" s="6">
        <f>SUMIF('Bigger Board'!D:D,D14,'Bigger Board'!B:B)</f>
        <v>10</v>
      </c>
      <c r="C14" s="6">
        <f>SUMIF('Bigger Board'!D:D,D14,'Bigger Board'!C:C)</f>
        <v>8</v>
      </c>
      <c r="D14" s="7" t="s">
        <v>42</v>
      </c>
      <c r="E14" s="7" t="s">
        <v>43</v>
      </c>
      <c r="F14" s="6" t="s">
        <v>44</v>
      </c>
      <c r="G14" s="6">
        <f>SUMIF('Bigger Board'!D:D,D14,'Bigger Board'!G:G)</f>
        <v>1</v>
      </c>
      <c r="H14" s="8">
        <f>SUMIF('Bigger Board'!D:D,D14,'Bigger Board'!H:H)</f>
        <v>71.1</v>
      </c>
      <c r="I14" s="9">
        <v>6.0</v>
      </c>
      <c r="J14" s="8" t="s">
        <v>45</v>
      </c>
    </row>
    <row r="15">
      <c r="A15" s="6">
        <f>SUMIF('Bigger Board'!D:D,D15,'Bigger Board'!A:A)</f>
        <v>11</v>
      </c>
      <c r="B15" s="6">
        <f>SUMIF('Bigger Board'!D:D,D15,'Bigger Board'!B:B)</f>
        <v>11</v>
      </c>
      <c r="C15" s="6">
        <f>SUMIF('Bigger Board'!D:D,D15,'Bigger Board'!C:C)</f>
        <v>11</v>
      </c>
      <c r="D15" s="7" t="s">
        <v>46</v>
      </c>
      <c r="E15" s="7" t="s">
        <v>47</v>
      </c>
      <c r="F15" s="6" t="s">
        <v>38</v>
      </c>
      <c r="G15" s="6">
        <f>SUMIF('Bigger Board'!D:D,D15,'Bigger Board'!G:G)</f>
        <v>2</v>
      </c>
      <c r="H15" s="8">
        <f>SUMIF('Bigger Board'!D:D,D15,'Bigger Board'!H:H)</f>
        <v>84.2</v>
      </c>
      <c r="I15" s="9">
        <v>9.0</v>
      </c>
      <c r="J15" s="8" t="s">
        <v>48</v>
      </c>
    </row>
    <row r="16">
      <c r="A16" s="6">
        <f>SUMIF('Bigger Board'!D:D,D16,'Bigger Board'!A:A)</f>
        <v>12</v>
      </c>
      <c r="B16" s="6">
        <f>SUMIF('Bigger Board'!D:D,D16,'Bigger Board'!B:B)</f>
        <v>12</v>
      </c>
      <c r="C16" s="6">
        <f>SUMIF('Bigger Board'!D:D,D16,'Bigger Board'!C:C)</f>
        <v>14</v>
      </c>
      <c r="D16" s="7" t="s">
        <v>49</v>
      </c>
      <c r="E16" s="7" t="s">
        <v>50</v>
      </c>
      <c r="F16" s="6" t="s">
        <v>40</v>
      </c>
      <c r="G16" s="6">
        <f>SUMIF('Bigger Board'!D:D,D16,'Bigger Board'!G:G)</f>
        <v>2</v>
      </c>
      <c r="H16" s="8">
        <f>SUMIF('Bigger Board'!D:D,D16,'Bigger Board'!H:H)</f>
        <v>82.4</v>
      </c>
      <c r="I16" s="9">
        <v>20.0</v>
      </c>
      <c r="J16" s="8" t="s">
        <v>51</v>
      </c>
    </row>
    <row r="17">
      <c r="A17" s="6">
        <f>SUMIF('Bigger Board'!D:D,D17,'Bigger Board'!A:A)</f>
        <v>13</v>
      </c>
      <c r="B17" s="6">
        <f>SUMIF('Bigger Board'!D:D,D17,'Bigger Board'!B:B)</f>
        <v>13</v>
      </c>
      <c r="C17" s="6">
        <f>SUMIF('Bigger Board'!D:D,D17,'Bigger Board'!C:C)</f>
        <v>15</v>
      </c>
      <c r="D17" s="7" t="s">
        <v>52</v>
      </c>
      <c r="E17" s="7" t="s">
        <v>53</v>
      </c>
      <c r="F17" s="6" t="s">
        <v>54</v>
      </c>
      <c r="G17" s="6">
        <f>SUMIF('Bigger Board'!D:D,D17,'Bigger Board'!G:G)</f>
        <v>1</v>
      </c>
      <c r="H17" s="8">
        <f>SUMIF('Bigger Board'!D:D,D17,'Bigger Board'!H:H)</f>
        <v>84.2</v>
      </c>
      <c r="I17" s="9">
        <v>14.0</v>
      </c>
      <c r="J17" s="8" t="s">
        <v>55</v>
      </c>
    </row>
    <row r="18">
      <c r="A18" s="6">
        <f>SUMIF('Bigger Board'!D:D,D18,'Bigger Board'!A:A)</f>
        <v>14</v>
      </c>
      <c r="B18" s="6">
        <f>SUMIF('Bigger Board'!D:D,D18,'Bigger Board'!B:B)</f>
        <v>14</v>
      </c>
      <c r="C18" s="6">
        <f>SUMIF('Bigger Board'!D:D,D18,'Bigger Board'!C:C)</f>
        <v>13</v>
      </c>
      <c r="D18" s="7" t="s">
        <v>56</v>
      </c>
      <c r="E18" s="7" t="s">
        <v>57</v>
      </c>
      <c r="F18" s="6" t="s">
        <v>44</v>
      </c>
      <c r="G18" s="6">
        <f>SUMIF('Bigger Board'!D:D,D18,'Bigger Board'!G:G)</f>
        <v>2</v>
      </c>
      <c r="H18" s="8">
        <f>SUMIF('Bigger Board'!D:D,D18,'Bigger Board'!H:H)</f>
        <v>81.1</v>
      </c>
      <c r="I18" s="9">
        <v>101.0</v>
      </c>
      <c r="J18" s="8" t="s">
        <v>16</v>
      </c>
    </row>
    <row r="19">
      <c r="A19" s="6">
        <f>SUMIF('Bigger Board'!D:D,D19,'Bigger Board'!A:A)</f>
        <v>15</v>
      </c>
      <c r="B19" s="6">
        <f>SUMIF('Bigger Board'!D:D,D19,'Bigger Board'!B:B)</f>
        <v>15</v>
      </c>
      <c r="C19" s="6">
        <f>SUMIF('Bigger Board'!D:D,D19,'Bigger Board'!C:C)</f>
        <v>12</v>
      </c>
      <c r="D19" s="7" t="s">
        <v>58</v>
      </c>
      <c r="E19" s="7" t="s">
        <v>59</v>
      </c>
      <c r="F19" s="6" t="s">
        <v>40</v>
      </c>
      <c r="G19" s="6">
        <f>SUMIF('Bigger Board'!D:D,D19,'Bigger Board'!G:G)</f>
        <v>3</v>
      </c>
      <c r="H19" s="8">
        <f>SUMIF('Bigger Board'!D:D,D19,'Bigger Board'!H:H)</f>
        <v>83.3</v>
      </c>
      <c r="I19" s="9">
        <v>8.0</v>
      </c>
      <c r="J19" s="8" t="s">
        <v>60</v>
      </c>
    </row>
    <row r="20">
      <c r="A20" s="6">
        <f>SUMIF('Bigger Board'!D:D,D20,'Bigger Board'!A:A)</f>
        <v>16</v>
      </c>
      <c r="B20" s="6">
        <f>SUMIF('Bigger Board'!D:D,D20,'Bigger Board'!B:B)</f>
        <v>16</v>
      </c>
      <c r="C20" s="6">
        <f>SUMIF('Bigger Board'!D:D,D20,'Bigger Board'!C:C)</f>
        <v>16</v>
      </c>
      <c r="D20" s="7" t="s">
        <v>61</v>
      </c>
      <c r="E20" s="7" t="s">
        <v>62</v>
      </c>
      <c r="F20" s="6" t="s">
        <v>63</v>
      </c>
      <c r="G20" s="6">
        <f>SUMIF('Bigger Board'!D:D,D20,'Bigger Board'!G:G)</f>
        <v>1</v>
      </c>
      <c r="H20" s="8">
        <f>SUMIF('Bigger Board'!D:D,D20,'Bigger Board'!H:H)</f>
        <v>81.1</v>
      </c>
      <c r="I20" s="9">
        <v>16.0</v>
      </c>
      <c r="J20" s="8" t="s">
        <v>36</v>
      </c>
    </row>
    <row r="21">
      <c r="A21" s="6">
        <f>SUMIF('Bigger Board'!D:D,D21,'Bigger Board'!A:A)</f>
        <v>17</v>
      </c>
      <c r="B21" s="6">
        <f>SUMIF('Bigger Board'!D:D,D21,'Bigger Board'!B:B)</f>
        <v>19</v>
      </c>
      <c r="C21" s="6">
        <f>SUMIF('Bigger Board'!D:D,D21,'Bigger Board'!C:C)</f>
        <v>17</v>
      </c>
      <c r="D21" s="7" t="s">
        <v>64</v>
      </c>
      <c r="E21" s="7" t="s">
        <v>62</v>
      </c>
      <c r="F21" s="6" t="s">
        <v>26</v>
      </c>
      <c r="G21" s="6">
        <f>SUMIF('Bigger Board'!D:D,D21,'Bigger Board'!G:G)</f>
        <v>2</v>
      </c>
      <c r="H21" s="8">
        <f>SUMIF('Bigger Board'!D:D,D21,'Bigger Board'!H:H)</f>
        <v>87.4</v>
      </c>
      <c r="I21" s="9">
        <v>25.0</v>
      </c>
      <c r="J21" s="8" t="s">
        <v>65</v>
      </c>
    </row>
    <row r="22">
      <c r="A22" s="6">
        <f>SUMIF('Bigger Board'!D:D,D22,'Bigger Board'!A:A)</f>
        <v>18</v>
      </c>
      <c r="B22" s="6">
        <f>SUMIF('Bigger Board'!D:D,D22,'Bigger Board'!B:B)</f>
        <v>17</v>
      </c>
      <c r="C22" s="6">
        <f>SUMIF('Bigger Board'!D:D,D22,'Bigger Board'!C:C)</f>
        <v>18</v>
      </c>
      <c r="D22" s="7" t="s">
        <v>66</v>
      </c>
      <c r="E22" s="7" t="s">
        <v>67</v>
      </c>
      <c r="F22" s="6" t="s">
        <v>38</v>
      </c>
      <c r="G22" s="6">
        <f>SUMIF('Bigger Board'!D:D,D22,'Bigger Board'!G:G)</f>
        <v>3</v>
      </c>
      <c r="H22" s="8">
        <f>SUMIF('Bigger Board'!D:D,D22,'Bigger Board'!H:H)</f>
        <v>99.2</v>
      </c>
      <c r="I22" s="9">
        <v>19.0</v>
      </c>
      <c r="J22" s="8" t="s">
        <v>68</v>
      </c>
    </row>
    <row r="23">
      <c r="A23" s="6">
        <f>SUMIF('Bigger Board'!D:D,D23,'Bigger Board'!A:A)</f>
        <v>19</v>
      </c>
      <c r="B23" s="6">
        <f>SUMIF('Bigger Board'!D:D,D23,'Bigger Board'!B:B)</f>
        <v>18</v>
      </c>
      <c r="C23" s="6">
        <f>SUMIF('Bigger Board'!D:D,D23,'Bigger Board'!C:C)</f>
        <v>19</v>
      </c>
      <c r="D23" s="7" t="s">
        <v>69</v>
      </c>
      <c r="E23" s="7" t="s">
        <v>70</v>
      </c>
      <c r="F23" s="6" t="s">
        <v>38</v>
      </c>
      <c r="G23" s="6">
        <f>SUMIF('Bigger Board'!D:D,D23,'Bigger Board'!G:G)</f>
        <v>4</v>
      </c>
      <c r="H23" s="8">
        <f>SUMIF('Bigger Board'!D:D,D23,'Bigger Board'!H:H)</f>
        <v>106.4</v>
      </c>
      <c r="I23" s="9">
        <v>12.0</v>
      </c>
      <c r="J23" s="8" t="s">
        <v>71</v>
      </c>
    </row>
    <row r="24">
      <c r="A24" s="6">
        <f>SUMIF('Bigger Board'!D:D,D24,'Bigger Board'!A:A)</f>
        <v>20</v>
      </c>
      <c r="B24" s="6">
        <f>SUMIF('Bigger Board'!D:D,D24,'Bigger Board'!B:B)</f>
        <v>20</v>
      </c>
      <c r="C24" s="6">
        <f>SUMIF('Bigger Board'!D:D,D24,'Bigger Board'!C:C)</f>
        <v>20</v>
      </c>
      <c r="D24" s="7" t="s">
        <v>72</v>
      </c>
      <c r="E24" s="7" t="s">
        <v>73</v>
      </c>
      <c r="F24" s="6" t="s">
        <v>32</v>
      </c>
      <c r="G24" s="6">
        <f>SUMIF('Bigger Board'!D:D,D24,'Bigger Board'!G:G)</f>
        <v>3</v>
      </c>
      <c r="H24" s="8">
        <f>SUMIF('Bigger Board'!D:D,D24,'Bigger Board'!H:H)</f>
        <v>118.1</v>
      </c>
      <c r="I24" s="9">
        <v>31.0</v>
      </c>
      <c r="J24" s="8" t="s">
        <v>41</v>
      </c>
    </row>
    <row r="25">
      <c r="A25" s="6">
        <f>SUMIF('Bigger Board'!D:D,D25,'Bigger Board'!A:A)</f>
        <v>21</v>
      </c>
      <c r="B25" s="6">
        <f>SUMIF('Bigger Board'!D:D,D25,'Bigger Board'!B:B)</f>
        <v>29</v>
      </c>
      <c r="C25" s="6">
        <f>SUMIF('Bigger Board'!D:D,D25,'Bigger Board'!C:C)</f>
        <v>21</v>
      </c>
      <c r="D25" s="7" t="s">
        <v>74</v>
      </c>
      <c r="E25" s="7" t="s">
        <v>75</v>
      </c>
      <c r="F25" s="6" t="s">
        <v>44</v>
      </c>
      <c r="G25" s="6">
        <f>SUMIF('Bigger Board'!D:D,D25,'Bigger Board'!G:G)</f>
        <v>3</v>
      </c>
      <c r="H25" s="8">
        <f>SUMIF('Bigger Board'!D:D,D25,'Bigger Board'!H:H)</f>
        <v>109.6</v>
      </c>
      <c r="I25" s="9">
        <v>48.0</v>
      </c>
      <c r="J25" s="8" t="s">
        <v>76</v>
      </c>
    </row>
    <row r="26">
      <c r="A26" s="6">
        <f>SUMIF('Bigger Board'!D:D,D26,'Bigger Board'!A:A)</f>
        <v>22</v>
      </c>
      <c r="B26" s="6">
        <f>SUMIF('Bigger Board'!D:D,D26,'Bigger Board'!B:B)</f>
        <v>21</v>
      </c>
      <c r="C26" s="6">
        <f>SUMIF('Bigger Board'!D:D,D26,'Bigger Board'!C:C)</f>
        <v>22</v>
      </c>
      <c r="D26" s="7" t="s">
        <v>77</v>
      </c>
      <c r="E26" s="7" t="s">
        <v>31</v>
      </c>
      <c r="F26" s="6" t="s">
        <v>32</v>
      </c>
      <c r="G26" s="6">
        <f>SUMIF('Bigger Board'!D:D,D26,'Bigger Board'!G:G)</f>
        <v>4</v>
      </c>
      <c r="H26" s="8">
        <f>SUMIF('Bigger Board'!D:D,D26,'Bigger Board'!H:H)</f>
        <v>108.7</v>
      </c>
      <c r="I26" s="9">
        <v>22.0</v>
      </c>
      <c r="J26" s="8" t="s">
        <v>78</v>
      </c>
    </row>
    <row r="27">
      <c r="A27" s="6">
        <f>SUMIF('Bigger Board'!D:D,D27,'Bigger Board'!A:A)</f>
        <v>23</v>
      </c>
      <c r="B27" s="6">
        <f>SUMIF('Bigger Board'!D:D,D27,'Bigger Board'!B:B)</f>
        <v>24</v>
      </c>
      <c r="C27" s="6">
        <f>SUMIF('Bigger Board'!D:D,D27,'Bigger Board'!C:C)</f>
        <v>24</v>
      </c>
      <c r="D27" s="7" t="s">
        <v>79</v>
      </c>
      <c r="E27" s="7" t="s">
        <v>80</v>
      </c>
      <c r="F27" s="6" t="s">
        <v>40</v>
      </c>
      <c r="G27" s="6">
        <f>SUMIF('Bigger Board'!D:D,D27,'Bigger Board'!G:G)</f>
        <v>4</v>
      </c>
      <c r="H27" s="8">
        <f>SUMIF('Bigger Board'!D:D,D27,'Bigger Board'!H:H)</f>
        <v>92.8</v>
      </c>
      <c r="I27" s="9">
        <v>24.0</v>
      </c>
      <c r="J27" s="8" t="s">
        <v>48</v>
      </c>
    </row>
    <row r="28">
      <c r="A28" s="6">
        <f>SUMIF('Bigger Board'!D:D,D28,'Bigger Board'!A:A)</f>
        <v>24</v>
      </c>
      <c r="B28" s="6">
        <f>SUMIF('Bigger Board'!D:D,D28,'Bigger Board'!B:B)</f>
        <v>23</v>
      </c>
      <c r="C28" s="6">
        <f>SUMIF('Bigger Board'!D:D,D28,'Bigger Board'!C:C)</f>
        <v>25</v>
      </c>
      <c r="D28" s="7" t="s">
        <v>81</v>
      </c>
      <c r="E28" s="7" t="s">
        <v>82</v>
      </c>
      <c r="F28" s="6" t="s">
        <v>26</v>
      </c>
      <c r="G28" s="6">
        <f>SUMIF('Bigger Board'!D:D,D28,'Bigger Board'!G:G)</f>
        <v>3</v>
      </c>
      <c r="H28" s="8">
        <f>SUMIF('Bigger Board'!D:D,D28,'Bigger Board'!H:H)</f>
        <v>88.8</v>
      </c>
      <c r="I28" s="9">
        <v>58.0</v>
      </c>
      <c r="J28" s="8" t="s">
        <v>48</v>
      </c>
    </row>
    <row r="29">
      <c r="A29" s="6">
        <f>SUMIF('Bigger Board'!D:D,D29,'Bigger Board'!A:A)</f>
        <v>25</v>
      </c>
      <c r="B29" s="6">
        <f>SUMIF('Bigger Board'!D:D,D29,'Bigger Board'!B:B)</f>
        <v>22</v>
      </c>
      <c r="C29" s="6">
        <f>SUMIF('Bigger Board'!D:D,D29,'Bigger Board'!C:C)</f>
        <v>26</v>
      </c>
      <c r="D29" s="7" t="s">
        <v>83</v>
      </c>
      <c r="E29" s="7" t="s">
        <v>14</v>
      </c>
      <c r="F29" s="6" t="s">
        <v>40</v>
      </c>
      <c r="G29" s="6">
        <f>SUMIF('Bigger Board'!D:D,D29,'Bigger Board'!G:G)</f>
        <v>5</v>
      </c>
      <c r="H29" s="8">
        <f>SUMIF('Bigger Board'!D:D,D29,'Bigger Board'!H:H)</f>
        <v>99.2</v>
      </c>
      <c r="I29" s="9">
        <v>30.0</v>
      </c>
      <c r="J29" s="8" t="s">
        <v>36</v>
      </c>
    </row>
    <row r="30">
      <c r="A30" s="6">
        <f>SUMIF('Bigger Board'!D:D,D30,'Bigger Board'!A:A)</f>
        <v>26</v>
      </c>
      <c r="B30" s="6">
        <f>SUMIF('Bigger Board'!D:D,D30,'Bigger Board'!B:B)</f>
        <v>34</v>
      </c>
      <c r="C30" s="6">
        <f>SUMIF('Bigger Board'!D:D,D30,'Bigger Board'!C:C)</f>
        <v>23</v>
      </c>
      <c r="D30" s="7" t="s">
        <v>84</v>
      </c>
      <c r="E30" s="7" t="s">
        <v>75</v>
      </c>
      <c r="F30" s="6" t="s">
        <v>85</v>
      </c>
      <c r="G30" s="6">
        <f>SUMIF('Bigger Board'!D:D,D30,'Bigger Board'!G:G)</f>
        <v>1</v>
      </c>
      <c r="H30" s="8">
        <f>SUMIF('Bigger Board'!D:D,D30,'Bigger Board'!H:H)</f>
        <v>99.1</v>
      </c>
      <c r="I30" s="9">
        <v>29.0</v>
      </c>
      <c r="J30" s="8" t="s">
        <v>45</v>
      </c>
    </row>
    <row r="31">
      <c r="A31" s="6">
        <f>SUMIF('Bigger Board'!D:D,D31,'Bigger Board'!A:A)</f>
        <v>27</v>
      </c>
      <c r="B31" s="6">
        <f>SUMIF('Bigger Board'!D:D,D31,'Bigger Board'!B:B)</f>
        <v>25</v>
      </c>
      <c r="C31" s="6">
        <f>SUMIF('Bigger Board'!D:D,D31,'Bigger Board'!C:C)</f>
        <v>27</v>
      </c>
      <c r="D31" s="7" t="s">
        <v>86</v>
      </c>
      <c r="E31" s="7" t="s">
        <v>87</v>
      </c>
      <c r="F31" s="6" t="s">
        <v>40</v>
      </c>
      <c r="G31" s="6">
        <f>SUMIF('Bigger Board'!D:D,D31,'Bigger Board'!G:G)</f>
        <v>6</v>
      </c>
      <c r="H31" s="8">
        <f>SUMIF('Bigger Board'!D:D,D31,'Bigger Board'!H:H)</f>
        <v>84.7</v>
      </c>
      <c r="I31" s="9">
        <v>39.0</v>
      </c>
      <c r="J31" s="8" t="s">
        <v>48</v>
      </c>
    </row>
    <row r="32">
      <c r="A32" s="6">
        <f>SUMIF('Bigger Board'!D:D,D32,'Bigger Board'!A:A)</f>
        <v>28</v>
      </c>
      <c r="B32" s="6">
        <f>SUMIF('Bigger Board'!D:D,D32,'Bigger Board'!B:B)</f>
        <v>26</v>
      </c>
      <c r="C32" s="6">
        <f>SUMIF('Bigger Board'!D:D,D32,'Bigger Board'!C:C)</f>
        <v>28</v>
      </c>
      <c r="D32" s="7" t="s">
        <v>88</v>
      </c>
      <c r="E32" s="7" t="s">
        <v>47</v>
      </c>
      <c r="F32" s="6" t="s">
        <v>38</v>
      </c>
      <c r="G32" s="6">
        <f>SUMIF('Bigger Board'!D:D,D32,'Bigger Board'!G:G)</f>
        <v>5</v>
      </c>
      <c r="H32" s="8">
        <f>SUMIF('Bigger Board'!D:D,D32,'Bigger Board'!H:H)</f>
        <v>87.4</v>
      </c>
      <c r="I32" s="9">
        <v>28.0</v>
      </c>
      <c r="J32" s="8" t="s">
        <v>89</v>
      </c>
    </row>
    <row r="33">
      <c r="A33" s="6">
        <f>SUMIF('Bigger Board'!D:D,D33,'Bigger Board'!A:A)</f>
        <v>29</v>
      </c>
      <c r="B33" s="6">
        <f>SUMIF('Bigger Board'!D:D,D33,'Bigger Board'!B:B)</f>
        <v>30</v>
      </c>
      <c r="C33" s="6">
        <f>SUMIF('Bigger Board'!D:D,D33,'Bigger Board'!C:C)</f>
        <v>29</v>
      </c>
      <c r="D33" s="7" t="s">
        <v>90</v>
      </c>
      <c r="E33" s="7" t="s">
        <v>18</v>
      </c>
      <c r="F33" s="6" t="s">
        <v>91</v>
      </c>
      <c r="G33" s="6">
        <f>SUMIF('Bigger Board'!D:D,D33,'Bigger Board'!G:G)</f>
        <v>1</v>
      </c>
      <c r="H33" s="8">
        <f>SUMIF('Bigger Board'!D:D,D33,'Bigger Board'!H:H)</f>
        <v>82.5</v>
      </c>
      <c r="I33" s="9">
        <v>36.0</v>
      </c>
      <c r="J33" s="8" t="s">
        <v>92</v>
      </c>
    </row>
    <row r="34">
      <c r="A34" s="6">
        <f>SUMIF('Bigger Board'!D:D,D34,'Bigger Board'!A:A)</f>
        <v>30</v>
      </c>
      <c r="B34" s="6">
        <f>SUMIF('Bigger Board'!D:D,D34,'Bigger Board'!B:B)</f>
        <v>31</v>
      </c>
      <c r="C34" s="6">
        <f>SUMIF('Bigger Board'!D:D,D34,'Bigger Board'!C:C)</f>
        <v>30</v>
      </c>
      <c r="D34" s="7" t="s">
        <v>93</v>
      </c>
      <c r="E34" s="7" t="s">
        <v>75</v>
      </c>
      <c r="F34" s="6" t="s">
        <v>32</v>
      </c>
      <c r="G34" s="6">
        <f>SUMIF('Bigger Board'!D:D,D34,'Bigger Board'!G:G)</f>
        <v>5</v>
      </c>
      <c r="H34" s="8">
        <f>SUMIF('Bigger Board'!D:D,D34,'Bigger Board'!H:H)</f>
        <v>93.7</v>
      </c>
      <c r="I34" s="9">
        <v>35.0</v>
      </c>
      <c r="J34" s="8" t="s">
        <v>94</v>
      </c>
    </row>
    <row r="35">
      <c r="A35" s="6">
        <f>SUMIF('Bigger Board'!D:D,D35,'Bigger Board'!A:A)</f>
        <v>31</v>
      </c>
      <c r="B35" s="6">
        <f>SUMIF('Bigger Board'!D:D,D35,'Bigger Board'!B:B)</f>
        <v>28</v>
      </c>
      <c r="C35" s="6">
        <f>SUMIF('Bigger Board'!D:D,D35,'Bigger Board'!C:C)</f>
        <v>31</v>
      </c>
      <c r="D35" s="7" t="s">
        <v>95</v>
      </c>
      <c r="E35" s="7" t="s">
        <v>75</v>
      </c>
      <c r="F35" s="6" t="s">
        <v>38</v>
      </c>
      <c r="G35" s="6">
        <f>SUMIF('Bigger Board'!D:D,D35,'Bigger Board'!G:G)</f>
        <v>6</v>
      </c>
      <c r="H35" s="8">
        <f>SUMIF('Bigger Board'!D:D,D35,'Bigger Board'!H:H)</f>
        <v>91</v>
      </c>
      <c r="I35" s="9">
        <v>17.0</v>
      </c>
      <c r="J35" s="8" t="s">
        <v>96</v>
      </c>
    </row>
    <row r="36">
      <c r="A36" s="6">
        <f>SUMIF('Bigger Board'!D:D,D36,'Bigger Board'!A:A)</f>
        <v>32</v>
      </c>
      <c r="B36" s="6">
        <f>SUMIF('Bigger Board'!D:D,D36,'Bigger Board'!B:B)</f>
        <v>27</v>
      </c>
      <c r="C36" s="6">
        <f>SUMIF('Bigger Board'!D:D,D36,'Bigger Board'!C:C)</f>
        <v>32</v>
      </c>
      <c r="D36" s="7" t="s">
        <v>97</v>
      </c>
      <c r="E36" s="7" t="s">
        <v>57</v>
      </c>
      <c r="F36" s="6" t="s">
        <v>44</v>
      </c>
      <c r="G36" s="6">
        <f>SUMIF('Bigger Board'!D:D,D36,'Bigger Board'!G:G)</f>
        <v>4</v>
      </c>
      <c r="H36" s="8">
        <f>SUMIF('Bigger Board'!D:D,D36,'Bigger Board'!H:H)</f>
        <v>87</v>
      </c>
      <c r="I36" s="9">
        <v>37.0</v>
      </c>
      <c r="J36" s="8" t="s">
        <v>20</v>
      </c>
    </row>
    <row r="37">
      <c r="A37" s="6">
        <f>SUMIF('Bigger Board'!D:D,D37,'Bigger Board'!A:A)</f>
        <v>33</v>
      </c>
      <c r="B37" s="6">
        <f>SUMIF('Bigger Board'!D:D,D37,'Bigger Board'!B:B)</f>
        <v>36</v>
      </c>
      <c r="C37" s="6">
        <f>SUMIF('Bigger Board'!D:D,D37,'Bigger Board'!C:C)</f>
        <v>33</v>
      </c>
      <c r="D37" s="7" t="s">
        <v>98</v>
      </c>
      <c r="E37" s="7" t="s">
        <v>59</v>
      </c>
      <c r="F37" s="6" t="s">
        <v>38</v>
      </c>
      <c r="G37" s="6">
        <f>SUMIF('Bigger Board'!D:D,D37,'Bigger Board'!G:G)</f>
        <v>7</v>
      </c>
      <c r="H37" s="8">
        <f>SUMIF('Bigger Board'!D:D,D37,'Bigger Board'!H:H)</f>
        <v>92.4</v>
      </c>
      <c r="I37" s="9">
        <v>21.0</v>
      </c>
      <c r="J37" s="8" t="s">
        <v>99</v>
      </c>
    </row>
    <row r="38">
      <c r="A38" s="6">
        <f>SUMIF('Bigger Board'!D:D,D38,'Bigger Board'!A:A)</f>
        <v>34</v>
      </c>
      <c r="B38" s="6">
        <f>SUMIF('Bigger Board'!D:D,D38,'Bigger Board'!B:B)</f>
        <v>33</v>
      </c>
      <c r="C38" s="6">
        <f>SUMIF('Bigger Board'!D:D,D38,'Bigger Board'!C:C)</f>
        <v>35</v>
      </c>
      <c r="D38" s="7" t="s">
        <v>100</v>
      </c>
      <c r="E38" s="7" t="s">
        <v>101</v>
      </c>
      <c r="F38" s="6" t="s">
        <v>44</v>
      </c>
      <c r="G38" s="6">
        <f>SUMIF('Bigger Board'!D:D,D38,'Bigger Board'!G:G)</f>
        <v>5</v>
      </c>
      <c r="H38" s="8">
        <f>SUMIF('Bigger Board'!D:D,D38,'Bigger Board'!H:H)</f>
        <v>92.8</v>
      </c>
      <c r="I38" s="9">
        <v>27.0</v>
      </c>
      <c r="J38" s="8" t="s">
        <v>71</v>
      </c>
    </row>
    <row r="39">
      <c r="A39" s="6">
        <f>SUMIF('Bigger Board'!D:D,D39,'Bigger Board'!A:A)</f>
        <v>35</v>
      </c>
      <c r="B39" s="6">
        <f>SUMIF('Bigger Board'!D:D,D39,'Bigger Board'!B:B)</f>
        <v>38</v>
      </c>
      <c r="C39" s="6">
        <f>SUMIF('Bigger Board'!D:D,D39,'Bigger Board'!C:C)</f>
        <v>34</v>
      </c>
      <c r="D39" s="7" t="s">
        <v>102</v>
      </c>
      <c r="E39" s="7" t="s">
        <v>67</v>
      </c>
      <c r="F39" s="6" t="s">
        <v>19</v>
      </c>
      <c r="G39" s="6">
        <f>SUMIF('Bigger Board'!D:D,D39,'Bigger Board'!G:G)</f>
        <v>3</v>
      </c>
      <c r="H39" s="8">
        <f>SUMIF('Bigger Board'!D:D,D39,'Bigger Board'!H:H)</f>
        <v>96.4</v>
      </c>
      <c r="I39" s="9">
        <v>53.0</v>
      </c>
      <c r="J39" s="8" t="s">
        <v>103</v>
      </c>
    </row>
    <row r="40">
      <c r="A40" s="6">
        <f>SUMIF('Bigger Board'!D:D,D40,'Bigger Board'!A:A)</f>
        <v>36</v>
      </c>
      <c r="B40" s="6">
        <f>SUMIF('Bigger Board'!D:D,D40,'Bigger Board'!B:B)</f>
        <v>32</v>
      </c>
      <c r="C40" s="6">
        <f>SUMIF('Bigger Board'!D:D,D40,'Bigger Board'!C:C)</f>
        <v>37</v>
      </c>
      <c r="D40" s="7" t="s">
        <v>104</v>
      </c>
      <c r="E40" s="7" t="s">
        <v>80</v>
      </c>
      <c r="F40" s="6" t="s">
        <v>32</v>
      </c>
      <c r="G40" s="6">
        <f>SUMIF('Bigger Board'!D:D,D40,'Bigger Board'!G:G)</f>
        <v>6</v>
      </c>
      <c r="H40" s="8">
        <f>SUMIF('Bigger Board'!D:D,D40,'Bigger Board'!H:H)</f>
        <v>91</v>
      </c>
      <c r="I40" s="9">
        <v>41.0</v>
      </c>
      <c r="J40" s="8" t="s">
        <v>105</v>
      </c>
    </row>
    <row r="41">
      <c r="A41" s="6">
        <f>SUMIF('Bigger Board'!D:D,D41,'Bigger Board'!A:A)</f>
        <v>37</v>
      </c>
      <c r="B41" s="6">
        <f>SUMIF('Bigger Board'!D:D,D41,'Bigger Board'!B:B)</f>
        <v>40</v>
      </c>
      <c r="C41" s="6">
        <f>SUMIF('Bigger Board'!D:D,D41,'Bigger Board'!C:C)</f>
        <v>36</v>
      </c>
      <c r="D41" s="7" t="s">
        <v>106</v>
      </c>
      <c r="E41" s="7" t="s">
        <v>107</v>
      </c>
      <c r="F41" s="6" t="s">
        <v>91</v>
      </c>
      <c r="G41" s="6">
        <f>SUMIF('Bigger Board'!D:D,D41,'Bigger Board'!G:G)</f>
        <v>2</v>
      </c>
      <c r="H41" s="8">
        <f>SUMIF('Bigger Board'!D:D,D41,'Bigger Board'!H:H)</f>
        <v>91.9</v>
      </c>
      <c r="I41" s="9">
        <v>18.0</v>
      </c>
      <c r="J41" s="8" t="s">
        <v>108</v>
      </c>
    </row>
    <row r="42">
      <c r="A42" s="6">
        <f>SUMIF('Bigger Board'!D:D,D42,'Bigger Board'!A:A)</f>
        <v>38</v>
      </c>
      <c r="B42" s="6">
        <f>SUMIF('Bigger Board'!D:D,D42,'Bigger Board'!B:B)</f>
        <v>35</v>
      </c>
      <c r="C42" s="6">
        <f>SUMIF('Bigger Board'!D:D,D42,'Bigger Board'!C:C)</f>
        <v>38</v>
      </c>
      <c r="D42" s="7" t="s">
        <v>109</v>
      </c>
      <c r="E42" s="7" t="s">
        <v>70</v>
      </c>
      <c r="F42" s="6" t="s">
        <v>15</v>
      </c>
      <c r="G42" s="6">
        <f>SUMIF('Bigger Board'!D:D,D42,'Bigger Board'!G:G)</f>
        <v>2</v>
      </c>
      <c r="H42" s="8">
        <f>SUMIF('Bigger Board'!D:D,D42,'Bigger Board'!H:H)</f>
        <v>105.1</v>
      </c>
      <c r="I42" s="9">
        <v>13.0</v>
      </c>
      <c r="J42" s="8" t="s">
        <v>110</v>
      </c>
    </row>
    <row r="43">
      <c r="A43" s="6">
        <f>SUMIF('Bigger Board'!D:D,D43,'Bigger Board'!A:A)</f>
        <v>39</v>
      </c>
      <c r="B43" s="6">
        <f>SUMIF('Bigger Board'!D:D,D43,'Bigger Board'!B:B)</f>
        <v>37</v>
      </c>
      <c r="C43" s="6">
        <f>SUMIF('Bigger Board'!D:D,D43,'Bigger Board'!C:C)</f>
        <v>39</v>
      </c>
      <c r="D43" s="7" t="s">
        <v>111</v>
      </c>
      <c r="E43" s="7" t="s">
        <v>112</v>
      </c>
      <c r="F43" s="6" t="s">
        <v>32</v>
      </c>
      <c r="G43" s="6">
        <f>SUMIF('Bigger Board'!D:D,D43,'Bigger Board'!G:G)</f>
        <v>7</v>
      </c>
      <c r="H43" s="8">
        <f>SUMIF('Bigger Board'!D:D,D43,'Bigger Board'!H:H)</f>
        <v>93.8</v>
      </c>
      <c r="I43" s="9">
        <v>45.0</v>
      </c>
      <c r="J43" s="8" t="s">
        <v>55</v>
      </c>
    </row>
    <row r="44">
      <c r="A44" s="6">
        <f>SUMIF('Bigger Board'!D:D,D44,'Bigger Board'!A:A)</f>
        <v>40</v>
      </c>
      <c r="B44" s="6">
        <f>SUMIF('Bigger Board'!D:D,D44,'Bigger Board'!B:B)</f>
        <v>46</v>
      </c>
      <c r="C44" s="6">
        <f>SUMIF('Bigger Board'!D:D,D44,'Bigger Board'!C:C)</f>
        <v>40</v>
      </c>
      <c r="D44" s="7" t="s">
        <v>113</v>
      </c>
      <c r="E44" s="7" t="s">
        <v>14</v>
      </c>
      <c r="F44" s="6" t="s">
        <v>44</v>
      </c>
      <c r="G44" s="6">
        <f>SUMIF('Bigger Board'!D:D,D44,'Bigger Board'!G:G)</f>
        <v>6</v>
      </c>
      <c r="H44" s="8">
        <f>SUMIF('Bigger Board'!D:D,D44,'Bigger Board'!H:H)</f>
        <v>88.3</v>
      </c>
      <c r="I44" s="9">
        <v>50.0</v>
      </c>
      <c r="J44" s="8" t="s">
        <v>36</v>
      </c>
    </row>
    <row r="45">
      <c r="A45" s="6">
        <f>SUMIF('Bigger Board'!D:D,D45,'Bigger Board'!A:A)</f>
        <v>41</v>
      </c>
      <c r="B45" s="6">
        <f>SUMIF('Bigger Board'!D:D,D45,'Bigger Board'!B:B)</f>
        <v>48</v>
      </c>
      <c r="C45" s="6">
        <f>SUMIF('Bigger Board'!D:D,D45,'Bigger Board'!C:C)</f>
        <v>41</v>
      </c>
      <c r="D45" s="7" t="s">
        <v>114</v>
      </c>
      <c r="E45" s="7" t="s">
        <v>62</v>
      </c>
      <c r="F45" s="6" t="s">
        <v>54</v>
      </c>
      <c r="G45" s="6">
        <f>SUMIF('Bigger Board'!D:D,D45,'Bigger Board'!G:G)</f>
        <v>2</v>
      </c>
      <c r="H45" s="8">
        <f>SUMIF('Bigger Board'!D:D,D45,'Bigger Board'!H:H)</f>
        <v>90.1</v>
      </c>
      <c r="I45" s="9">
        <v>88.0</v>
      </c>
      <c r="J45" s="8" t="s">
        <v>115</v>
      </c>
    </row>
    <row r="46">
      <c r="A46" s="6">
        <f>SUMIF('Bigger Board'!D:D,D46,'Bigger Board'!A:A)</f>
        <v>42</v>
      </c>
      <c r="B46" s="6">
        <f>SUMIF('Bigger Board'!D:D,D46,'Bigger Board'!B:B)</f>
        <v>44</v>
      </c>
      <c r="C46" s="6">
        <f>SUMIF('Bigger Board'!D:D,D46,'Bigger Board'!C:C)</f>
        <v>44</v>
      </c>
      <c r="D46" s="7" t="s">
        <v>116</v>
      </c>
      <c r="E46" s="7" t="s">
        <v>67</v>
      </c>
      <c r="F46" s="6" t="s">
        <v>91</v>
      </c>
      <c r="G46" s="6">
        <f>SUMIF('Bigger Board'!D:D,D46,'Bigger Board'!G:G)</f>
        <v>3</v>
      </c>
      <c r="H46" s="8">
        <f>SUMIF('Bigger Board'!D:D,D46,'Bigger Board'!H:H)</f>
        <v>90.2</v>
      </c>
      <c r="I46" s="9">
        <v>42.0</v>
      </c>
      <c r="J46" s="8" t="s">
        <v>60</v>
      </c>
    </row>
    <row r="47">
      <c r="A47" s="6">
        <f>SUMIF('Bigger Board'!D:D,D47,'Bigger Board'!A:A)</f>
        <v>43</v>
      </c>
      <c r="B47" s="6">
        <f>SUMIF('Bigger Board'!D:D,D47,'Bigger Board'!B:B)</f>
        <v>41</v>
      </c>
      <c r="C47" s="6">
        <f>SUMIF('Bigger Board'!D:D,D47,'Bigger Board'!C:C)</f>
        <v>43</v>
      </c>
      <c r="D47" s="7" t="s">
        <v>117</v>
      </c>
      <c r="E47" s="7" t="s">
        <v>35</v>
      </c>
      <c r="F47" s="6" t="s">
        <v>19</v>
      </c>
      <c r="G47" s="6">
        <f>SUMIF('Bigger Board'!D:D,D47,'Bigger Board'!G:G)</f>
        <v>4</v>
      </c>
      <c r="H47" s="8">
        <f>SUMIF('Bigger Board'!D:D,D47,'Bigger Board'!H:H)</f>
        <v>87.4</v>
      </c>
      <c r="I47" s="9">
        <v>43.0</v>
      </c>
      <c r="J47" s="8" t="s">
        <v>71</v>
      </c>
    </row>
    <row r="48">
      <c r="A48" s="6">
        <f>SUMIF('Bigger Board'!D:D,D48,'Bigger Board'!A:A)</f>
        <v>44</v>
      </c>
      <c r="B48" s="6">
        <f>SUMIF('Bigger Board'!D:D,D48,'Bigger Board'!B:B)</f>
        <v>45</v>
      </c>
      <c r="C48" s="6">
        <f>SUMIF('Bigger Board'!D:D,D48,'Bigger Board'!C:C)</f>
        <v>42</v>
      </c>
      <c r="D48" s="7" t="s">
        <v>118</v>
      </c>
      <c r="E48" s="7" t="s">
        <v>119</v>
      </c>
      <c r="F48" s="6" t="s">
        <v>44</v>
      </c>
      <c r="G48" s="6">
        <f>SUMIF('Bigger Board'!D:D,D48,'Bigger Board'!G:G)</f>
        <v>7</v>
      </c>
      <c r="H48" s="8">
        <f>SUMIF('Bigger Board'!D:D,D48,'Bigger Board'!H:H)</f>
        <v>89.7</v>
      </c>
      <c r="I48" s="9">
        <v>52.0</v>
      </c>
      <c r="J48" s="8" t="s">
        <v>120</v>
      </c>
    </row>
    <row r="49">
      <c r="A49" s="6">
        <f>SUMIF('Bigger Board'!D:D,D49,'Bigger Board'!A:A)</f>
        <v>45</v>
      </c>
      <c r="B49" s="6">
        <f>SUMIF('Bigger Board'!D:D,D49,'Bigger Board'!B:B)</f>
        <v>47</v>
      </c>
      <c r="C49" s="6">
        <f>SUMIF('Bigger Board'!D:D,D49,'Bigger Board'!C:C)</f>
        <v>45</v>
      </c>
      <c r="D49" s="7" t="s">
        <v>121</v>
      </c>
      <c r="E49" s="7" t="s">
        <v>35</v>
      </c>
      <c r="F49" s="6" t="s">
        <v>91</v>
      </c>
      <c r="G49" s="6">
        <f>SUMIF('Bigger Board'!D:D,D49,'Bigger Board'!G:G)</f>
        <v>4</v>
      </c>
      <c r="H49" s="8">
        <f>SUMIF('Bigger Board'!D:D,D49,'Bigger Board'!H:H)</f>
        <v>94.6</v>
      </c>
      <c r="I49" s="9">
        <v>49.0</v>
      </c>
      <c r="J49" s="8" t="s">
        <v>68</v>
      </c>
    </row>
    <row r="50">
      <c r="A50" s="6">
        <f>SUMIF('Bigger Board'!D:D,D50,'Bigger Board'!A:A)</f>
        <v>46</v>
      </c>
      <c r="B50" s="6">
        <f>SUMIF('Bigger Board'!D:D,D50,'Bigger Board'!B:B)</f>
        <v>43</v>
      </c>
      <c r="C50" s="6">
        <f>SUMIF('Bigger Board'!D:D,D50,'Bigger Board'!C:C)</f>
        <v>46</v>
      </c>
      <c r="D50" s="7" t="s">
        <v>122</v>
      </c>
      <c r="E50" s="7" t="s">
        <v>80</v>
      </c>
      <c r="F50" s="6" t="s">
        <v>54</v>
      </c>
      <c r="G50" s="6">
        <f>SUMIF('Bigger Board'!D:D,D50,'Bigger Board'!G:G)</f>
        <v>3</v>
      </c>
      <c r="H50" s="8">
        <f>SUMIF('Bigger Board'!D:D,D50,'Bigger Board'!H:H)</f>
        <v>84.7</v>
      </c>
      <c r="I50" s="9">
        <v>34.0</v>
      </c>
      <c r="J50" s="8" t="s">
        <v>24</v>
      </c>
    </row>
    <row r="51">
      <c r="A51" s="6">
        <f>SUMIF('Bigger Board'!D:D,D51,'Bigger Board'!A:A)</f>
        <v>47</v>
      </c>
      <c r="B51" s="6">
        <f>SUMIF('Bigger Board'!D:D,D51,'Bigger Board'!B:B)</f>
        <v>51</v>
      </c>
      <c r="C51" s="6">
        <f>SUMIF('Bigger Board'!D:D,D51,'Bigger Board'!C:C)</f>
        <v>47</v>
      </c>
      <c r="D51" s="7" t="s">
        <v>123</v>
      </c>
      <c r="E51" s="7" t="s">
        <v>124</v>
      </c>
      <c r="F51" s="6" t="s">
        <v>32</v>
      </c>
      <c r="G51" s="6">
        <f>SUMIF('Bigger Board'!D:D,D51,'Bigger Board'!G:G)</f>
        <v>8</v>
      </c>
      <c r="H51" s="8">
        <f>SUMIF('Bigger Board'!D:D,D51,'Bigger Board'!H:H)</f>
        <v>85.6</v>
      </c>
      <c r="I51" s="9">
        <v>40.0</v>
      </c>
      <c r="J51" s="8" t="s">
        <v>45</v>
      </c>
    </row>
    <row r="52">
      <c r="A52" s="6">
        <f>SUMIF('Bigger Board'!D:D,D52,'Bigger Board'!A:A)</f>
        <v>48</v>
      </c>
      <c r="B52" s="6">
        <f>SUMIF('Bigger Board'!D:D,D52,'Bigger Board'!B:B)</f>
        <v>49</v>
      </c>
      <c r="C52" s="6">
        <f>SUMIF('Bigger Board'!D:D,D52,'Bigger Board'!C:C)</f>
        <v>48</v>
      </c>
      <c r="D52" s="7" t="s">
        <v>125</v>
      </c>
      <c r="E52" s="7" t="s">
        <v>126</v>
      </c>
      <c r="F52" s="6" t="s">
        <v>32</v>
      </c>
      <c r="G52" s="6">
        <f>SUMIF('Bigger Board'!D:D,D52,'Bigger Board'!G:G)</f>
        <v>9</v>
      </c>
      <c r="H52" s="8">
        <f>SUMIF('Bigger Board'!D:D,D52,'Bigger Board'!H:H)</f>
        <v>94.2</v>
      </c>
      <c r="I52" s="9">
        <v>23.0</v>
      </c>
      <c r="J52" s="8" t="s">
        <v>27</v>
      </c>
    </row>
    <row r="53">
      <c r="A53" s="6">
        <f>SUMIF('Bigger Board'!D:D,D53,'Bigger Board'!A:A)</f>
        <v>49</v>
      </c>
      <c r="B53" s="6">
        <f>SUMIF('Bigger Board'!D:D,D53,'Bigger Board'!B:B)</f>
        <v>39</v>
      </c>
      <c r="C53" s="6">
        <f>SUMIF('Bigger Board'!D:D,D53,'Bigger Board'!C:C)</f>
        <v>49</v>
      </c>
      <c r="D53" s="7" t="s">
        <v>127</v>
      </c>
      <c r="E53" s="7" t="s">
        <v>128</v>
      </c>
      <c r="F53" s="6" t="s">
        <v>19</v>
      </c>
      <c r="G53" s="6">
        <f>SUMIF('Bigger Board'!D:D,D53,'Bigger Board'!G:G)</f>
        <v>5</v>
      </c>
      <c r="H53" s="8">
        <f>SUMIF('Bigger Board'!D:D,D53,'Bigger Board'!H:H)</f>
        <v>101</v>
      </c>
      <c r="I53" s="9">
        <v>60.0</v>
      </c>
      <c r="J53" s="8" t="s">
        <v>41</v>
      </c>
    </row>
    <row r="54">
      <c r="A54" s="6">
        <f>SUMIF('Bigger Board'!D:D,D54,'Bigger Board'!A:A)</f>
        <v>50</v>
      </c>
      <c r="B54" s="6">
        <f>SUMIF('Bigger Board'!D:D,D54,'Bigger Board'!B:B)</f>
        <v>52</v>
      </c>
      <c r="C54" s="6">
        <f>SUMIF('Bigger Board'!D:D,D54,'Bigger Board'!C:C)</f>
        <v>50</v>
      </c>
      <c r="D54" s="7" t="s">
        <v>129</v>
      </c>
      <c r="E54" s="7" t="s">
        <v>130</v>
      </c>
      <c r="F54" s="6" t="s">
        <v>32</v>
      </c>
      <c r="G54" s="6">
        <f>SUMIF('Bigger Board'!D:D,D54,'Bigger Board'!G:G)</f>
        <v>10</v>
      </c>
      <c r="H54" s="8">
        <f>SUMIF('Bigger Board'!D:D,D54,'Bigger Board'!H:H)</f>
        <v>86.5</v>
      </c>
      <c r="I54" s="9">
        <v>55.0</v>
      </c>
      <c r="J54" s="8" t="s">
        <v>89</v>
      </c>
    </row>
    <row r="55">
      <c r="A55" s="6">
        <f>SUMIF('Bigger Board'!D:D,D55,'Bigger Board'!A:A)</f>
        <v>51</v>
      </c>
      <c r="B55" s="6">
        <f>SUMIF('Bigger Board'!D:D,D55,'Bigger Board'!B:B)</f>
        <v>50</v>
      </c>
      <c r="C55" s="6">
        <f>SUMIF('Bigger Board'!D:D,D55,'Bigger Board'!C:C)</f>
        <v>51</v>
      </c>
      <c r="D55" s="7" t="s">
        <v>131</v>
      </c>
      <c r="E55" s="7" t="s">
        <v>70</v>
      </c>
      <c r="F55" s="6" t="s">
        <v>40</v>
      </c>
      <c r="G55" s="6">
        <f>SUMIF('Bigger Board'!D:D,D55,'Bigger Board'!G:G)</f>
        <v>7</v>
      </c>
      <c r="H55" s="8">
        <f>SUMIF('Bigger Board'!D:D,D55,'Bigger Board'!H:H)</f>
        <v>84.2</v>
      </c>
      <c r="I55" s="9">
        <v>47.0</v>
      </c>
      <c r="J55" s="8" t="s">
        <v>99</v>
      </c>
    </row>
    <row r="56">
      <c r="A56" s="6">
        <f>SUMIF('Bigger Board'!D:D,D56,'Bigger Board'!A:A)</f>
        <v>52</v>
      </c>
      <c r="B56" s="6">
        <f>SUMIF('Bigger Board'!D:D,D56,'Bigger Board'!B:B)</f>
        <v>53</v>
      </c>
      <c r="C56" s="6">
        <f>SUMIF('Bigger Board'!D:D,D56,'Bigger Board'!C:C)</f>
        <v>53</v>
      </c>
      <c r="D56" s="7" t="s">
        <v>132</v>
      </c>
      <c r="E56" s="7" t="s">
        <v>133</v>
      </c>
      <c r="F56" s="6" t="s">
        <v>19</v>
      </c>
      <c r="G56" s="6">
        <f>SUMIF('Bigger Board'!D:D,D56,'Bigger Board'!G:G)</f>
        <v>6</v>
      </c>
      <c r="H56" s="8">
        <f>SUMIF('Bigger Board'!D:D,D56,'Bigger Board'!H:H)</f>
        <v>81.5</v>
      </c>
      <c r="I56" s="9">
        <v>51.0</v>
      </c>
      <c r="J56" s="8" t="s">
        <v>108</v>
      </c>
    </row>
    <row r="57">
      <c r="A57" s="6">
        <f>SUMIF('Bigger Board'!D:D,D57,'Bigger Board'!A:A)</f>
        <v>53</v>
      </c>
      <c r="B57" s="6">
        <f>SUMIF('Bigger Board'!D:D,D57,'Bigger Board'!B:B)</f>
        <v>42</v>
      </c>
      <c r="C57" s="6">
        <f>SUMIF('Bigger Board'!D:D,D57,'Bigger Board'!C:C)</f>
        <v>55</v>
      </c>
      <c r="D57" s="7" t="s">
        <v>134</v>
      </c>
      <c r="E57" s="7" t="s">
        <v>22</v>
      </c>
      <c r="F57" s="6" t="s">
        <v>23</v>
      </c>
      <c r="G57" s="6">
        <f>SUMIF('Bigger Board'!D:D,D57,'Bigger Board'!G:G)</f>
        <v>2</v>
      </c>
      <c r="H57" s="8">
        <f>SUMIF('Bigger Board'!D:D,D57,'Bigger Board'!H:H)</f>
        <v>89.7</v>
      </c>
      <c r="I57" s="9">
        <v>32.0</v>
      </c>
      <c r="J57" s="8" t="s">
        <v>135</v>
      </c>
    </row>
    <row r="58">
      <c r="A58" s="6">
        <f>SUMIF('Bigger Board'!D:D,D58,'Bigger Board'!A:A)</f>
        <v>54</v>
      </c>
      <c r="B58" s="6">
        <f>SUMIF('Bigger Board'!D:D,D58,'Bigger Board'!B:B)</f>
        <v>63</v>
      </c>
      <c r="C58" s="6">
        <f>SUMIF('Bigger Board'!D:D,D58,'Bigger Board'!C:C)</f>
        <v>52</v>
      </c>
      <c r="D58" s="7" t="s">
        <v>136</v>
      </c>
      <c r="E58" s="7" t="s">
        <v>137</v>
      </c>
      <c r="F58" s="6" t="s">
        <v>40</v>
      </c>
      <c r="G58" s="6">
        <f>SUMIF('Bigger Board'!D:D,D58,'Bigger Board'!G:G)</f>
        <v>8</v>
      </c>
      <c r="H58" s="8">
        <f>SUMIF('Bigger Board'!D:D,D58,'Bigger Board'!H:H)</f>
        <v>94.6</v>
      </c>
      <c r="I58" s="9">
        <v>94.0</v>
      </c>
      <c r="J58" s="8" t="s">
        <v>71</v>
      </c>
    </row>
    <row r="59">
      <c r="A59" s="6">
        <f>SUMIF('Bigger Board'!D:D,D59,'Bigger Board'!A:A)</f>
        <v>55</v>
      </c>
      <c r="B59" s="6">
        <f>SUMIF('Bigger Board'!D:D,D59,'Bigger Board'!B:B)</f>
        <v>54</v>
      </c>
      <c r="C59" s="6">
        <f>SUMIF('Bigger Board'!D:D,D59,'Bigger Board'!C:C)</f>
        <v>58</v>
      </c>
      <c r="D59" s="7" t="s">
        <v>138</v>
      </c>
      <c r="E59" s="7" t="s">
        <v>31</v>
      </c>
      <c r="F59" s="6" t="s">
        <v>44</v>
      </c>
      <c r="G59" s="6">
        <f>SUMIF('Bigger Board'!D:D,D59,'Bigger Board'!G:G)</f>
        <v>8</v>
      </c>
      <c r="H59" s="8">
        <f>SUMIF('Bigger Board'!D:D,D59,'Bigger Board'!H:H)</f>
        <v>84.3</v>
      </c>
      <c r="I59" s="9">
        <v>116.0</v>
      </c>
      <c r="J59" s="8" t="s">
        <v>33</v>
      </c>
    </row>
    <row r="60">
      <c r="A60" s="6">
        <f>SUMIF('Bigger Board'!D:D,D60,'Bigger Board'!A:A)</f>
        <v>56</v>
      </c>
      <c r="B60" s="6">
        <f>SUMIF('Bigger Board'!D:D,D60,'Bigger Board'!B:B)</f>
        <v>59</v>
      </c>
      <c r="C60" s="6">
        <f>SUMIF('Bigger Board'!D:D,D60,'Bigger Board'!C:C)</f>
        <v>54</v>
      </c>
      <c r="D60" s="7" t="s">
        <v>139</v>
      </c>
      <c r="E60" s="7" t="s">
        <v>43</v>
      </c>
      <c r="F60" s="6" t="s">
        <v>26</v>
      </c>
      <c r="G60" s="6">
        <f>SUMIF('Bigger Board'!D:D,D60,'Bigger Board'!G:G)</f>
        <v>4</v>
      </c>
      <c r="H60" s="8">
        <f>SUMIF('Bigger Board'!D:D,D60,'Bigger Board'!H:H)</f>
        <v>82.9</v>
      </c>
      <c r="I60" s="9">
        <v>78.0</v>
      </c>
      <c r="J60" s="8" t="s">
        <v>103</v>
      </c>
    </row>
    <row r="61">
      <c r="A61" s="6">
        <f>SUMIF('Bigger Board'!D:D,D61,'Bigger Board'!A:A)</f>
        <v>57</v>
      </c>
      <c r="B61" s="6">
        <f>SUMIF('Bigger Board'!D:D,D61,'Bigger Board'!B:B)</f>
        <v>58</v>
      </c>
      <c r="C61" s="6">
        <f>SUMIF('Bigger Board'!D:D,D61,'Bigger Board'!C:C)</f>
        <v>56</v>
      </c>
      <c r="D61" s="7" t="s">
        <v>140</v>
      </c>
      <c r="E61" s="7" t="s">
        <v>57</v>
      </c>
      <c r="F61" s="6" t="s">
        <v>40</v>
      </c>
      <c r="G61" s="6">
        <f>SUMIF('Bigger Board'!D:D,D61,'Bigger Board'!G:G)</f>
        <v>9</v>
      </c>
      <c r="H61" s="8">
        <f>SUMIF('Bigger Board'!D:D,D61,'Bigger Board'!H:H)</f>
        <v>97.8</v>
      </c>
      <c r="I61" s="9">
        <v>83.0</v>
      </c>
      <c r="J61" s="8" t="s">
        <v>68</v>
      </c>
    </row>
    <row r="62">
      <c r="A62" s="6">
        <f>SUMIF('Bigger Board'!D:D,D62,'Bigger Board'!A:A)</f>
        <v>58</v>
      </c>
      <c r="B62" s="6">
        <f>SUMIF('Bigger Board'!D:D,D62,'Bigger Board'!B:B)</f>
        <v>55</v>
      </c>
      <c r="C62" s="6">
        <f>SUMIF('Bigger Board'!D:D,D62,'Bigger Board'!C:C)</f>
        <v>60</v>
      </c>
      <c r="D62" s="7" t="s">
        <v>141</v>
      </c>
      <c r="E62" s="7" t="s">
        <v>142</v>
      </c>
      <c r="F62" s="6" t="s">
        <v>63</v>
      </c>
      <c r="G62" s="6">
        <f>SUMIF('Bigger Board'!D:D,D62,'Bigger Board'!G:G)</f>
        <v>2</v>
      </c>
      <c r="H62" s="8">
        <f>SUMIF('Bigger Board'!D:D,D62,'Bigger Board'!H:H)</f>
        <v>101</v>
      </c>
      <c r="I62" s="9">
        <v>54.0</v>
      </c>
      <c r="J62" s="8" t="s">
        <v>51</v>
      </c>
    </row>
    <row r="63">
      <c r="A63" s="6">
        <f>SUMIF('Bigger Board'!D:D,D63,'Bigger Board'!A:A)</f>
        <v>59</v>
      </c>
      <c r="B63" s="6">
        <f>SUMIF('Bigger Board'!D:D,D63,'Bigger Board'!B:B)</f>
        <v>57</v>
      </c>
      <c r="C63" s="6">
        <f>SUMIF('Bigger Board'!D:D,D63,'Bigger Board'!C:C)</f>
        <v>61</v>
      </c>
      <c r="D63" s="7" t="s">
        <v>143</v>
      </c>
      <c r="E63" s="7" t="s">
        <v>144</v>
      </c>
      <c r="F63" s="6" t="s">
        <v>54</v>
      </c>
      <c r="G63" s="6">
        <f>SUMIF('Bigger Board'!D:D,D63,'Bigger Board'!G:G)</f>
        <v>4</v>
      </c>
      <c r="H63" s="8">
        <f>SUMIF('Bigger Board'!D:D,D63,'Bigger Board'!H:H)</f>
        <v>93.7</v>
      </c>
      <c r="I63" s="9">
        <v>26.0</v>
      </c>
      <c r="J63" s="8" t="s">
        <v>92</v>
      </c>
    </row>
    <row r="64">
      <c r="A64" s="6">
        <f>SUMIF('Bigger Board'!D:D,D64,'Bigger Board'!A:A)</f>
        <v>60</v>
      </c>
      <c r="B64" s="6">
        <f>SUMIF('Bigger Board'!D:D,D64,'Bigger Board'!B:B)</f>
        <v>66</v>
      </c>
      <c r="C64" s="6">
        <f>SUMIF('Bigger Board'!D:D,D64,'Bigger Board'!C:C)</f>
        <v>57</v>
      </c>
      <c r="D64" s="7" t="s">
        <v>145</v>
      </c>
      <c r="E64" s="7" t="s">
        <v>146</v>
      </c>
      <c r="F64" s="6" t="s">
        <v>44</v>
      </c>
      <c r="G64" s="6">
        <f>SUMIF('Bigger Board'!D:D,D64,'Bigger Board'!G:G)</f>
        <v>9</v>
      </c>
      <c r="H64" s="8">
        <f>SUMIF('Bigger Board'!D:D,D64,'Bigger Board'!H:H)</f>
        <v>99.2</v>
      </c>
      <c r="I64" s="9">
        <v>38.0</v>
      </c>
      <c r="J64" s="8" t="s">
        <v>16</v>
      </c>
    </row>
    <row r="65">
      <c r="A65" s="6">
        <f>SUMIF('Bigger Board'!D:D,D65,'Bigger Board'!A:A)</f>
        <v>61</v>
      </c>
      <c r="B65" s="6">
        <f>SUMIF('Bigger Board'!D:D,D65,'Bigger Board'!B:B)</f>
        <v>65</v>
      </c>
      <c r="C65" s="6">
        <f>SUMIF('Bigger Board'!D:D,D65,'Bigger Board'!C:C)</f>
        <v>59</v>
      </c>
      <c r="D65" s="7" t="s">
        <v>147</v>
      </c>
      <c r="E65" s="7" t="s">
        <v>59</v>
      </c>
      <c r="F65" s="6" t="s">
        <v>44</v>
      </c>
      <c r="G65" s="6">
        <f>SUMIF('Bigger Board'!D:D,D65,'Bigger Board'!G:G)</f>
        <v>10</v>
      </c>
      <c r="H65" s="8">
        <f>SUMIF('Bigger Board'!D:D,D65,'Bigger Board'!H:H)</f>
        <v>96.9</v>
      </c>
      <c r="I65" s="9">
        <v>157.0</v>
      </c>
      <c r="J65" s="8" t="s">
        <v>96</v>
      </c>
    </row>
    <row r="66">
      <c r="A66" s="6">
        <f>SUMIF('Bigger Board'!D:D,D66,'Bigger Board'!A:A)</f>
        <v>62</v>
      </c>
      <c r="B66" s="6">
        <f>SUMIF('Bigger Board'!D:D,D66,'Bigger Board'!B:B)</f>
        <v>60</v>
      </c>
      <c r="C66" s="6">
        <f>SUMIF('Bigger Board'!D:D,D66,'Bigger Board'!C:C)</f>
        <v>63</v>
      </c>
      <c r="D66" s="7" t="s">
        <v>148</v>
      </c>
      <c r="E66" s="7" t="s">
        <v>112</v>
      </c>
      <c r="F66" s="6" t="s">
        <v>19</v>
      </c>
      <c r="G66" s="6">
        <f>SUMIF('Bigger Board'!D:D,D66,'Bigger Board'!G:G)</f>
        <v>7</v>
      </c>
      <c r="H66" s="8">
        <f>SUMIF('Bigger Board'!D:D,D66,'Bigger Board'!H:H)</f>
        <v>88.8</v>
      </c>
      <c r="I66" s="9">
        <v>46.0</v>
      </c>
      <c r="J66" s="8" t="s">
        <v>33</v>
      </c>
    </row>
    <row r="67">
      <c r="A67" s="6">
        <f>SUMIF('Bigger Board'!D:D,D67,'Bigger Board'!A:A)</f>
        <v>63</v>
      </c>
      <c r="B67" s="6">
        <f>SUMIF('Bigger Board'!D:D,D67,'Bigger Board'!B:B)</f>
        <v>61</v>
      </c>
      <c r="C67" s="6">
        <f>SUMIF('Bigger Board'!D:D,D67,'Bigger Board'!C:C)</f>
        <v>62</v>
      </c>
      <c r="D67" s="7" t="s">
        <v>149</v>
      </c>
      <c r="E67" s="7" t="s">
        <v>150</v>
      </c>
      <c r="F67" s="6" t="s">
        <v>32</v>
      </c>
      <c r="G67" s="6">
        <f>SUMIF('Bigger Board'!D:D,D67,'Bigger Board'!G:G)</f>
        <v>11</v>
      </c>
      <c r="H67" s="8">
        <f>SUMIF('Bigger Board'!D:D,D67,'Bigger Board'!H:H)</f>
        <v>96</v>
      </c>
      <c r="I67" s="9">
        <v>44.0</v>
      </c>
      <c r="J67" s="8" t="s">
        <v>96</v>
      </c>
    </row>
    <row r="68">
      <c r="A68" s="6">
        <f>SUMIF('Bigger Board'!D:D,D68,'Bigger Board'!A:A)</f>
        <v>64</v>
      </c>
      <c r="B68" s="6">
        <f>SUMIF('Bigger Board'!D:D,D68,'Bigger Board'!B:B)</f>
        <v>56</v>
      </c>
      <c r="C68" s="6">
        <f>SUMIF('Bigger Board'!D:D,D68,'Bigger Board'!C:C)</f>
        <v>64</v>
      </c>
      <c r="D68" s="7" t="s">
        <v>151</v>
      </c>
      <c r="E68" s="7" t="s">
        <v>67</v>
      </c>
      <c r="F68" s="6" t="s">
        <v>40</v>
      </c>
      <c r="G68" s="6">
        <f>SUMIF('Bigger Board'!D:D,D68,'Bigger Board'!G:G)</f>
        <v>10</v>
      </c>
      <c r="H68" s="8">
        <f>SUMIF('Bigger Board'!D:D,D68,'Bigger Board'!H:H)</f>
        <v>108.6</v>
      </c>
      <c r="I68" s="9">
        <v>79.0</v>
      </c>
      <c r="J68" s="8" t="s">
        <v>76</v>
      </c>
    </row>
    <row r="69">
      <c r="A69" s="6">
        <f>SUMIF('Bigger Board'!D:D,D69,'Bigger Board'!A:A)</f>
        <v>65</v>
      </c>
      <c r="B69" s="6">
        <f>SUMIF('Bigger Board'!D:D,D69,'Bigger Board'!B:B)</f>
        <v>64</v>
      </c>
      <c r="C69" s="6">
        <f>SUMIF('Bigger Board'!D:D,D69,'Bigger Board'!C:C)</f>
        <v>65</v>
      </c>
      <c r="D69" s="7" t="s">
        <v>152</v>
      </c>
      <c r="E69" s="7" t="s">
        <v>153</v>
      </c>
      <c r="F69" s="6" t="s">
        <v>54</v>
      </c>
      <c r="G69" s="6">
        <f>SUMIF('Bigger Board'!D:D,D69,'Bigger Board'!G:G)</f>
        <v>5</v>
      </c>
      <c r="H69" s="8">
        <f>SUMIF('Bigger Board'!D:D,D69,'Bigger Board'!H:H)</f>
        <v>86.1</v>
      </c>
      <c r="I69" s="9">
        <v>96.0</v>
      </c>
      <c r="J69" s="8" t="s">
        <v>99</v>
      </c>
    </row>
    <row r="70">
      <c r="A70" s="6">
        <f>SUMIF('Bigger Board'!D:D,D70,'Bigger Board'!A:A)</f>
        <v>66</v>
      </c>
      <c r="B70" s="6">
        <f>SUMIF('Bigger Board'!D:D,D70,'Bigger Board'!B:B)</f>
        <v>67</v>
      </c>
      <c r="C70" s="6">
        <f>SUMIF('Bigger Board'!D:D,D70,'Bigger Board'!C:C)</f>
        <v>66</v>
      </c>
      <c r="D70" s="7" t="s">
        <v>154</v>
      </c>
      <c r="E70" s="7" t="s">
        <v>75</v>
      </c>
      <c r="F70" s="6" t="s">
        <v>40</v>
      </c>
      <c r="G70" s="6">
        <f>SUMIF('Bigger Board'!D:D,D70,'Bigger Board'!G:G)</f>
        <v>11</v>
      </c>
      <c r="H70" s="8">
        <f>SUMIF('Bigger Board'!D:D,D70,'Bigger Board'!H:H)</f>
        <v>90.1</v>
      </c>
      <c r="I70" s="9">
        <v>71.0</v>
      </c>
      <c r="J70" s="8" t="s">
        <v>29</v>
      </c>
    </row>
    <row r="71">
      <c r="A71" s="6">
        <f>SUMIF('Bigger Board'!D:D,D71,'Bigger Board'!A:A)</f>
        <v>67</v>
      </c>
      <c r="B71" s="6">
        <f>SUMIF('Bigger Board'!D:D,D71,'Bigger Board'!B:B)</f>
        <v>69</v>
      </c>
      <c r="C71" s="6">
        <f>SUMIF('Bigger Board'!D:D,D71,'Bigger Board'!C:C)</f>
        <v>67</v>
      </c>
      <c r="D71" s="7" t="s">
        <v>155</v>
      </c>
      <c r="E71" s="7" t="s">
        <v>156</v>
      </c>
      <c r="F71" s="6" t="s">
        <v>38</v>
      </c>
      <c r="G71" s="6">
        <f>SUMIF('Bigger Board'!D:D,D71,'Bigger Board'!G:G)</f>
        <v>8</v>
      </c>
      <c r="H71" s="8">
        <f>SUMIF('Bigger Board'!D:D,D71,'Bigger Board'!H:H)</f>
        <v>89.7</v>
      </c>
      <c r="I71" s="9">
        <v>97.0</v>
      </c>
      <c r="J71" s="8" t="s">
        <v>108</v>
      </c>
    </row>
    <row r="72">
      <c r="A72" s="6">
        <f>SUMIF('Bigger Board'!D:D,D72,'Bigger Board'!A:A)</f>
        <v>68</v>
      </c>
      <c r="B72" s="6">
        <f>SUMIF('Bigger Board'!D:D,D72,'Bigger Board'!B:B)</f>
        <v>62</v>
      </c>
      <c r="C72" s="6">
        <f>SUMIF('Bigger Board'!D:D,D72,'Bigger Board'!C:C)</f>
        <v>71</v>
      </c>
      <c r="D72" s="7" t="s">
        <v>157</v>
      </c>
      <c r="E72" s="7" t="s">
        <v>158</v>
      </c>
      <c r="F72" s="6" t="s">
        <v>19</v>
      </c>
      <c r="G72" s="6">
        <f>SUMIF('Bigger Board'!D:D,D72,'Bigger Board'!G:G)</f>
        <v>8</v>
      </c>
      <c r="H72" s="8">
        <f>SUMIF('Bigger Board'!D:D,D72,'Bigger Board'!H:H)</f>
        <v>89.7</v>
      </c>
      <c r="I72" s="9">
        <v>138.0</v>
      </c>
      <c r="J72" s="8" t="s">
        <v>71</v>
      </c>
    </row>
    <row r="73">
      <c r="A73" s="6">
        <f>SUMIF('Bigger Board'!D:D,D73,'Bigger Board'!A:A)</f>
        <v>69</v>
      </c>
      <c r="B73" s="6">
        <f>SUMIF('Bigger Board'!D:D,D73,'Bigger Board'!B:B)</f>
        <v>76</v>
      </c>
      <c r="C73" s="6">
        <f>SUMIF('Bigger Board'!D:D,D73,'Bigger Board'!C:C)</f>
        <v>70</v>
      </c>
      <c r="D73" s="7" t="s">
        <v>159</v>
      </c>
      <c r="E73" s="7" t="s">
        <v>14</v>
      </c>
      <c r="F73" s="6" t="s">
        <v>40</v>
      </c>
      <c r="G73" s="6">
        <f>SUMIF('Bigger Board'!D:D,D73,'Bigger Board'!G:G)</f>
        <v>12</v>
      </c>
      <c r="H73" s="8">
        <f>SUMIF('Bigger Board'!D:D,D73,'Bigger Board'!H:H)</f>
        <v>88.7</v>
      </c>
      <c r="I73" s="9">
        <v>115.0</v>
      </c>
      <c r="J73" s="8" t="s">
        <v>55</v>
      </c>
    </row>
    <row r="74">
      <c r="A74" s="6">
        <f>SUMIF('Bigger Board'!D:D,D74,'Bigger Board'!A:A)</f>
        <v>70</v>
      </c>
      <c r="B74" s="6">
        <f>SUMIF('Bigger Board'!D:D,D74,'Bigger Board'!B:B)</f>
        <v>74</v>
      </c>
      <c r="C74" s="6">
        <f>SUMIF('Bigger Board'!D:D,D74,'Bigger Board'!C:C)</f>
        <v>68</v>
      </c>
      <c r="D74" s="7" t="s">
        <v>160</v>
      </c>
      <c r="E74" s="7" t="s">
        <v>161</v>
      </c>
      <c r="F74" s="6" t="s">
        <v>91</v>
      </c>
      <c r="G74" s="6">
        <f>SUMIF('Bigger Board'!D:D,D74,'Bigger Board'!G:G)</f>
        <v>5</v>
      </c>
      <c r="H74" s="8">
        <f>SUMIF('Bigger Board'!D:D,D74,'Bigger Board'!H:H)</f>
        <v>90.6</v>
      </c>
      <c r="I74" s="9">
        <v>82.0</v>
      </c>
      <c r="J74" s="8" t="s">
        <v>108</v>
      </c>
    </row>
    <row r="75">
      <c r="A75" s="6">
        <f>SUMIF('Bigger Board'!D:D,D75,'Bigger Board'!A:A)</f>
        <v>71</v>
      </c>
      <c r="B75" s="6">
        <f>SUMIF('Bigger Board'!D:D,D75,'Bigger Board'!B:B)</f>
        <v>71</v>
      </c>
      <c r="C75" s="6">
        <f>SUMIF('Bigger Board'!D:D,D75,'Bigger Board'!C:C)</f>
        <v>69</v>
      </c>
      <c r="D75" s="7" t="s">
        <v>162</v>
      </c>
      <c r="E75" s="7" t="s">
        <v>18</v>
      </c>
      <c r="F75" s="6" t="s">
        <v>63</v>
      </c>
      <c r="G75" s="6">
        <f>SUMIF('Bigger Board'!D:D,D75,'Bigger Board'!G:G)</f>
        <v>3</v>
      </c>
      <c r="H75" s="8">
        <f>SUMIF('Bigger Board'!D:D,D75,'Bigger Board'!H:H)</f>
        <v>91</v>
      </c>
      <c r="I75" s="9">
        <v>61.0</v>
      </c>
      <c r="J75" s="8" t="s">
        <v>110</v>
      </c>
    </row>
    <row r="76">
      <c r="A76" s="6">
        <f>SUMIF('Bigger Board'!D:D,D76,'Bigger Board'!A:A)</f>
        <v>72</v>
      </c>
      <c r="B76" s="6">
        <f>SUMIF('Bigger Board'!D:D,D76,'Bigger Board'!B:B)</f>
        <v>73</v>
      </c>
      <c r="C76" s="6">
        <f>SUMIF('Bigger Board'!D:D,D76,'Bigger Board'!C:C)</f>
        <v>72</v>
      </c>
      <c r="D76" s="7" t="s">
        <v>163</v>
      </c>
      <c r="E76" s="7" t="s">
        <v>53</v>
      </c>
      <c r="F76" s="6" t="s">
        <v>32</v>
      </c>
      <c r="G76" s="6">
        <f>SUMIF('Bigger Board'!D:D,D76,'Bigger Board'!G:G)</f>
        <v>12</v>
      </c>
      <c r="H76" s="8">
        <f>SUMIF('Bigger Board'!D:D,D76,'Bigger Board'!H:H)</f>
        <v>93.7</v>
      </c>
      <c r="I76" s="9">
        <v>120.0</v>
      </c>
      <c r="J76" s="8" t="s">
        <v>120</v>
      </c>
    </row>
    <row r="77">
      <c r="A77" s="6">
        <f>SUMIF('Bigger Board'!D:D,D77,'Bigger Board'!A:A)</f>
        <v>73</v>
      </c>
      <c r="B77" s="6">
        <f>SUMIF('Bigger Board'!D:D,D77,'Bigger Board'!B:B)</f>
        <v>68</v>
      </c>
      <c r="C77" s="6">
        <f>SUMIF('Bigger Board'!D:D,D77,'Bigger Board'!C:C)</f>
        <v>75</v>
      </c>
      <c r="D77" s="7" t="s">
        <v>164</v>
      </c>
      <c r="E77" s="7" t="s">
        <v>22</v>
      </c>
      <c r="F77" s="6" t="s">
        <v>40</v>
      </c>
      <c r="G77" s="6">
        <f>SUMIF('Bigger Board'!D:D,D77,'Bigger Board'!G:G)</f>
        <v>13</v>
      </c>
      <c r="H77" s="8">
        <f>SUMIF('Bigger Board'!D:D,D77,'Bigger Board'!H:H)</f>
        <v>96.5</v>
      </c>
      <c r="I77" s="9">
        <v>74.0</v>
      </c>
      <c r="J77" s="8" t="s">
        <v>20</v>
      </c>
    </row>
    <row r="78">
      <c r="A78" s="6">
        <f>SUMIF('Bigger Board'!D:D,D78,'Bigger Board'!A:A)</f>
        <v>74</v>
      </c>
      <c r="B78" s="6">
        <f>SUMIF('Bigger Board'!D:D,D78,'Bigger Board'!B:B)</f>
        <v>72</v>
      </c>
      <c r="C78" s="6">
        <f>SUMIF('Bigger Board'!D:D,D78,'Bigger Board'!C:C)</f>
        <v>78</v>
      </c>
      <c r="D78" s="7" t="s">
        <v>165</v>
      </c>
      <c r="E78" s="7" t="s">
        <v>166</v>
      </c>
      <c r="F78" s="6" t="s">
        <v>23</v>
      </c>
      <c r="G78" s="6">
        <f>SUMIF('Bigger Board'!D:D,D78,'Bigger Board'!G:G)</f>
        <v>3</v>
      </c>
      <c r="H78" s="8">
        <f>SUMIF('Bigger Board'!D:D,D78,'Bigger Board'!H:H)</f>
        <v>96.9</v>
      </c>
      <c r="I78" s="9">
        <v>122.0</v>
      </c>
      <c r="J78" s="8" t="s">
        <v>16</v>
      </c>
    </row>
    <row r="79">
      <c r="A79" s="6">
        <f>SUMIF('Bigger Board'!D:D,D79,'Bigger Board'!A:A)</f>
        <v>75</v>
      </c>
      <c r="B79" s="6">
        <f>SUMIF('Bigger Board'!D:D,D79,'Bigger Board'!B:B)</f>
        <v>81</v>
      </c>
      <c r="C79" s="6">
        <f>SUMIF('Bigger Board'!D:D,D79,'Bigger Board'!C:C)</f>
        <v>73</v>
      </c>
      <c r="D79" s="7" t="s">
        <v>167</v>
      </c>
      <c r="E79" s="7" t="s">
        <v>168</v>
      </c>
      <c r="F79" s="6" t="s">
        <v>40</v>
      </c>
      <c r="G79" s="6">
        <f>SUMIF('Bigger Board'!D:D,D79,'Bigger Board'!G:G)</f>
        <v>14</v>
      </c>
      <c r="H79" s="8">
        <f>SUMIF('Bigger Board'!D:D,D79,'Bigger Board'!H:H)</f>
        <v>94.2</v>
      </c>
      <c r="I79" s="9">
        <v>84.0</v>
      </c>
      <c r="J79" s="8" t="s">
        <v>33</v>
      </c>
    </row>
    <row r="80">
      <c r="A80" s="6">
        <f>SUMIF('Bigger Board'!D:D,D80,'Bigger Board'!A:A)</f>
        <v>76</v>
      </c>
      <c r="B80" s="6">
        <f>SUMIF('Bigger Board'!D:D,D80,'Bigger Board'!B:B)</f>
        <v>82</v>
      </c>
      <c r="C80" s="6">
        <f>SUMIF('Bigger Board'!D:D,D80,'Bigger Board'!C:C)</f>
        <v>74</v>
      </c>
      <c r="D80" s="7" t="s">
        <v>169</v>
      </c>
      <c r="E80" s="7" t="s">
        <v>73</v>
      </c>
      <c r="F80" s="6" t="s">
        <v>170</v>
      </c>
      <c r="G80" s="6">
        <f>SUMIF('Bigger Board'!D:D,D80,'Bigger Board'!G:G)</f>
        <v>1</v>
      </c>
      <c r="H80" s="8">
        <f>SUMIF('Bigger Board'!D:D,D80,'Bigger Board'!H:H)</f>
        <v>96.4</v>
      </c>
      <c r="I80" s="9">
        <v>128.0</v>
      </c>
      <c r="J80" s="8" t="s">
        <v>105</v>
      </c>
    </row>
    <row r="81">
      <c r="A81" s="6">
        <f>SUMIF('Bigger Board'!D:D,D81,'Bigger Board'!A:A)</f>
        <v>77</v>
      </c>
      <c r="B81" s="6">
        <f>SUMIF('Bigger Board'!D:D,D81,'Bigger Board'!B:B)</f>
        <v>84</v>
      </c>
      <c r="C81" s="6">
        <f>SUMIF('Bigger Board'!D:D,D81,'Bigger Board'!C:C)</f>
        <v>76</v>
      </c>
      <c r="D81" s="7" t="s">
        <v>171</v>
      </c>
      <c r="E81" s="7" t="s">
        <v>57</v>
      </c>
      <c r="F81" s="6" t="s">
        <v>32</v>
      </c>
      <c r="G81" s="6">
        <f>SUMIF('Bigger Board'!D:D,D81,'Bigger Board'!G:G)</f>
        <v>13</v>
      </c>
      <c r="H81" s="8">
        <f>SUMIF('Bigger Board'!D:D,D81,'Bigger Board'!H:H)</f>
        <v>91.1</v>
      </c>
      <c r="I81" s="9">
        <v>147.0</v>
      </c>
      <c r="J81" s="8" t="s">
        <v>29</v>
      </c>
    </row>
    <row r="82">
      <c r="A82" s="6">
        <f>SUMIF('Bigger Board'!D:D,D82,'Bigger Board'!A:A)</f>
        <v>78</v>
      </c>
      <c r="B82" s="6">
        <f>SUMIF('Bigger Board'!D:D,D82,'Bigger Board'!B:B)</f>
        <v>86</v>
      </c>
      <c r="C82" s="6">
        <f>SUMIF('Bigger Board'!D:D,D82,'Bigger Board'!C:C)</f>
        <v>79</v>
      </c>
      <c r="D82" s="7" t="s">
        <v>172</v>
      </c>
      <c r="E82" s="7" t="s">
        <v>35</v>
      </c>
      <c r="F82" s="6" t="s">
        <v>32</v>
      </c>
      <c r="G82" s="6">
        <f>SUMIF('Bigger Board'!D:D,D82,'Bigger Board'!G:G)</f>
        <v>14</v>
      </c>
      <c r="H82" s="8">
        <f>SUMIF('Bigger Board'!D:D,D82,'Bigger Board'!H:H)</f>
        <v>93.7</v>
      </c>
      <c r="I82" s="9">
        <v>70.0</v>
      </c>
      <c r="J82" s="8" t="s">
        <v>173</v>
      </c>
    </row>
    <row r="83">
      <c r="A83" s="6">
        <f>SUMIF('Bigger Board'!D:D,D83,'Bigger Board'!A:A)</f>
        <v>79</v>
      </c>
      <c r="B83" s="6">
        <f>SUMIF('Bigger Board'!D:D,D83,'Bigger Board'!B:B)</f>
        <v>70</v>
      </c>
      <c r="C83" s="6">
        <f>SUMIF('Bigger Board'!D:D,D83,'Bigger Board'!C:C)</f>
        <v>81</v>
      </c>
      <c r="D83" s="7" t="s">
        <v>174</v>
      </c>
      <c r="E83" s="7" t="s">
        <v>175</v>
      </c>
      <c r="F83" s="6" t="s">
        <v>26</v>
      </c>
      <c r="G83" s="6">
        <f>SUMIF('Bigger Board'!D:D,D83,'Bigger Board'!G:G)</f>
        <v>5</v>
      </c>
      <c r="H83" s="8">
        <f>SUMIF('Bigger Board'!D:D,D83,'Bigger Board'!H:H)</f>
        <v>91.9</v>
      </c>
      <c r="I83" s="9">
        <v>64.0</v>
      </c>
      <c r="J83" s="8" t="s">
        <v>135</v>
      </c>
    </row>
    <row r="84">
      <c r="A84" s="6">
        <f>SUMIF('Bigger Board'!D:D,D84,'Bigger Board'!A:A)</f>
        <v>80</v>
      </c>
      <c r="B84" s="6">
        <f>SUMIF('Bigger Board'!D:D,D84,'Bigger Board'!B:B)</f>
        <v>90</v>
      </c>
      <c r="C84" s="6">
        <f>SUMIF('Bigger Board'!D:D,D84,'Bigger Board'!C:C)</f>
        <v>77</v>
      </c>
      <c r="D84" s="7" t="s">
        <v>176</v>
      </c>
      <c r="E84" s="7" t="s">
        <v>177</v>
      </c>
      <c r="F84" s="6" t="s">
        <v>170</v>
      </c>
      <c r="G84" s="6">
        <f>SUMIF('Bigger Board'!D:D,D84,'Bigger Board'!G:G)</f>
        <v>2</v>
      </c>
      <c r="H84" s="8">
        <f>SUMIF('Bigger Board'!D:D,D84,'Bigger Board'!H:H)</f>
        <v>91.5</v>
      </c>
      <c r="I84" s="9">
        <v>144.0</v>
      </c>
      <c r="J84" s="8" t="s">
        <v>68</v>
      </c>
    </row>
    <row r="85">
      <c r="A85" s="6">
        <f>SUMIF('Bigger Board'!D:D,D85,'Bigger Board'!A:A)</f>
        <v>81</v>
      </c>
      <c r="B85" s="6">
        <f>SUMIF('Bigger Board'!D:D,D85,'Bigger Board'!B:B)</f>
        <v>85</v>
      </c>
      <c r="C85" s="6">
        <f>SUMIF('Bigger Board'!D:D,D85,'Bigger Board'!C:C)</f>
        <v>80</v>
      </c>
      <c r="D85" s="7" t="s">
        <v>178</v>
      </c>
      <c r="E85" s="7" t="s">
        <v>18</v>
      </c>
      <c r="F85" s="6" t="s">
        <v>44</v>
      </c>
      <c r="G85" s="6">
        <f>SUMIF('Bigger Board'!D:D,D85,'Bigger Board'!G:G)</f>
        <v>11</v>
      </c>
      <c r="H85" s="8">
        <f>SUMIF('Bigger Board'!D:D,D85,'Bigger Board'!H:H)</f>
        <v>97.8</v>
      </c>
      <c r="I85" s="9">
        <v>62.0</v>
      </c>
      <c r="J85" s="8" t="s">
        <v>94</v>
      </c>
    </row>
    <row r="86">
      <c r="A86" s="6">
        <f>SUMIF('Bigger Board'!D:D,D86,'Bigger Board'!A:A)</f>
        <v>82</v>
      </c>
      <c r="B86" s="6">
        <f>SUMIF('Bigger Board'!D:D,D86,'Bigger Board'!B:B)</f>
        <v>83</v>
      </c>
      <c r="C86" s="6">
        <f>SUMIF('Bigger Board'!D:D,D86,'Bigger Board'!C:C)</f>
        <v>82</v>
      </c>
      <c r="D86" s="7" t="s">
        <v>179</v>
      </c>
      <c r="E86" s="7" t="s">
        <v>43</v>
      </c>
      <c r="F86" s="6" t="s">
        <v>15</v>
      </c>
      <c r="G86" s="6">
        <f>SUMIF('Bigger Board'!D:D,D86,'Bigger Board'!G:G)</f>
        <v>3</v>
      </c>
      <c r="H86" s="8">
        <f>SUMIF('Bigger Board'!D:D,D86,'Bigger Board'!H:H)</f>
        <v>93.8</v>
      </c>
      <c r="I86" s="9">
        <v>249.0</v>
      </c>
      <c r="J86" s="8" t="s">
        <v>45</v>
      </c>
    </row>
    <row r="87">
      <c r="A87" s="6">
        <f>SUMIF('Bigger Board'!D:D,D87,'Bigger Board'!A:A)</f>
        <v>83</v>
      </c>
      <c r="B87" s="6">
        <f>SUMIF('Bigger Board'!D:D,D87,'Bigger Board'!B:B)</f>
        <v>96</v>
      </c>
      <c r="C87" s="6">
        <f>SUMIF('Bigger Board'!D:D,D87,'Bigger Board'!C:C)</f>
        <v>83</v>
      </c>
      <c r="D87" s="7" t="s">
        <v>180</v>
      </c>
      <c r="E87" s="7" t="s">
        <v>124</v>
      </c>
      <c r="F87" s="6" t="s">
        <v>85</v>
      </c>
      <c r="G87" s="6">
        <f>SUMIF('Bigger Board'!D:D,D87,'Bigger Board'!G:G)</f>
        <v>2</v>
      </c>
      <c r="H87" s="8">
        <f>SUMIF('Bigger Board'!D:D,D87,'Bigger Board'!H:H)</f>
        <v>104.6</v>
      </c>
      <c r="I87" s="9">
        <v>107.0</v>
      </c>
      <c r="J87" s="8" t="s">
        <v>173</v>
      </c>
    </row>
    <row r="88">
      <c r="A88" s="6">
        <f>SUMIF('Bigger Board'!D:D,D88,'Bigger Board'!A:A)</f>
        <v>84</v>
      </c>
      <c r="B88" s="6">
        <f>SUMIF('Bigger Board'!D:D,D88,'Bigger Board'!B:B)</f>
        <v>94</v>
      </c>
      <c r="C88" s="6">
        <f>SUMIF('Bigger Board'!D:D,D88,'Bigger Board'!C:C)</f>
        <v>85</v>
      </c>
      <c r="D88" s="7" t="s">
        <v>181</v>
      </c>
      <c r="E88" s="7" t="s">
        <v>182</v>
      </c>
      <c r="F88" s="6" t="s">
        <v>40</v>
      </c>
      <c r="G88" s="6">
        <f>SUMIF('Bigger Board'!D:D,D88,'Bigger Board'!G:G)</f>
        <v>15</v>
      </c>
      <c r="H88" s="8">
        <f>SUMIF('Bigger Board'!D:D,D88,'Bigger Board'!H:H)</f>
        <v>100.5</v>
      </c>
      <c r="I88" s="9">
        <v>125.0</v>
      </c>
      <c r="J88" s="8" t="s">
        <v>94</v>
      </c>
    </row>
    <row r="89">
      <c r="A89" s="6">
        <f>SUMIF('Bigger Board'!D:D,D89,'Bigger Board'!A:A)</f>
        <v>85</v>
      </c>
      <c r="B89" s="6">
        <f>SUMIF('Bigger Board'!D:D,D89,'Bigger Board'!B:B)</f>
        <v>79</v>
      </c>
      <c r="C89" s="6">
        <f>SUMIF('Bigger Board'!D:D,D89,'Bigger Board'!C:C)</f>
        <v>90</v>
      </c>
      <c r="D89" s="7" t="s">
        <v>183</v>
      </c>
      <c r="E89" s="7" t="s">
        <v>150</v>
      </c>
      <c r="F89" s="6" t="s">
        <v>32</v>
      </c>
      <c r="G89" s="6">
        <f>SUMIF('Bigger Board'!D:D,D89,'Bigger Board'!G:G)</f>
        <v>15</v>
      </c>
      <c r="H89" s="8">
        <f>SUMIF('Bigger Board'!D:D,D89,'Bigger Board'!H:H)</f>
        <v>101</v>
      </c>
      <c r="I89" s="9">
        <v>92.0</v>
      </c>
      <c r="J89" s="8" t="s">
        <v>27</v>
      </c>
    </row>
    <row r="90">
      <c r="A90" s="6">
        <f>SUMIF('Bigger Board'!D:D,D90,'Bigger Board'!A:A)</f>
        <v>86</v>
      </c>
      <c r="B90" s="6">
        <f>SUMIF('Bigger Board'!D:D,D90,'Bigger Board'!B:B)</f>
        <v>106</v>
      </c>
      <c r="C90" s="6">
        <f>SUMIF('Bigger Board'!D:D,D90,'Bigger Board'!C:C)</f>
        <v>84</v>
      </c>
      <c r="D90" s="7" t="s">
        <v>184</v>
      </c>
      <c r="E90" s="7" t="s">
        <v>185</v>
      </c>
      <c r="F90" s="6" t="s">
        <v>44</v>
      </c>
      <c r="G90" s="6">
        <f>SUMIF('Bigger Board'!D:D,D90,'Bigger Board'!G:G)</f>
        <v>12</v>
      </c>
      <c r="H90" s="8">
        <f>SUMIF('Bigger Board'!D:D,D90,'Bigger Board'!H:H)</f>
        <v>91.5</v>
      </c>
      <c r="I90" s="9">
        <v>162.0</v>
      </c>
      <c r="J90" s="8" t="s">
        <v>55</v>
      </c>
    </row>
    <row r="91">
      <c r="A91" s="6">
        <f>SUMIF('Bigger Board'!D:D,D91,'Bigger Board'!A:A)</f>
        <v>87</v>
      </c>
      <c r="B91" s="6">
        <f>SUMIF('Bigger Board'!D:D,D91,'Bigger Board'!B:B)</f>
        <v>91</v>
      </c>
      <c r="C91" s="6">
        <f>SUMIF('Bigger Board'!D:D,D91,'Bigger Board'!C:C)</f>
        <v>87</v>
      </c>
      <c r="D91" s="7" t="s">
        <v>186</v>
      </c>
      <c r="E91" s="7" t="s">
        <v>187</v>
      </c>
      <c r="F91" s="6" t="s">
        <v>40</v>
      </c>
      <c r="G91" s="6">
        <f>SUMIF('Bigger Board'!D:D,D91,'Bigger Board'!G:G)</f>
        <v>16</v>
      </c>
      <c r="H91" s="8">
        <f>SUMIF('Bigger Board'!D:D,D91,'Bigger Board'!H:H)</f>
        <v>87</v>
      </c>
      <c r="I91" s="9">
        <v>136.0</v>
      </c>
      <c r="J91" s="8" t="s">
        <v>60</v>
      </c>
    </row>
    <row r="92">
      <c r="A92" s="6">
        <f>SUMIF('Bigger Board'!D:D,D92,'Bigger Board'!A:A)</f>
        <v>88</v>
      </c>
      <c r="B92" s="6">
        <f>SUMIF('Bigger Board'!D:D,D92,'Bigger Board'!B:B)</f>
        <v>88</v>
      </c>
      <c r="C92" s="6">
        <f>SUMIF('Bigger Board'!D:D,D92,'Bigger Board'!C:C)</f>
        <v>88</v>
      </c>
      <c r="D92" s="7" t="s">
        <v>188</v>
      </c>
      <c r="E92" s="7" t="s">
        <v>53</v>
      </c>
      <c r="F92" s="6" t="s">
        <v>26</v>
      </c>
      <c r="G92" s="6">
        <f>SUMIF('Bigger Board'!D:D,D92,'Bigger Board'!G:G)</f>
        <v>6</v>
      </c>
      <c r="H92" s="8">
        <f>SUMIF('Bigger Board'!D:D,D92,'Bigger Board'!H:H)</f>
        <v>89.2</v>
      </c>
      <c r="I92" s="9">
        <v>151.0</v>
      </c>
      <c r="J92" s="8" t="s">
        <v>68</v>
      </c>
    </row>
    <row r="93">
      <c r="A93" s="6">
        <f>SUMIF('Bigger Board'!D:D,D93,'Bigger Board'!A:A)</f>
        <v>89</v>
      </c>
      <c r="B93" s="6">
        <f>SUMIF('Bigger Board'!D:D,D93,'Bigger Board'!B:B)</f>
        <v>77</v>
      </c>
      <c r="C93" s="6">
        <f>SUMIF('Bigger Board'!D:D,D93,'Bigger Board'!C:C)</f>
        <v>89</v>
      </c>
      <c r="D93" s="7" t="s">
        <v>189</v>
      </c>
      <c r="E93" s="7" t="s">
        <v>128</v>
      </c>
      <c r="F93" s="6" t="s">
        <v>44</v>
      </c>
      <c r="G93" s="6">
        <f>SUMIF('Bigger Board'!D:D,D93,'Bigger Board'!G:G)</f>
        <v>13</v>
      </c>
      <c r="H93" s="8">
        <f>SUMIF('Bigger Board'!D:D,D93,'Bigger Board'!H:H)</f>
        <v>92.4</v>
      </c>
      <c r="I93" s="9">
        <v>124.0</v>
      </c>
      <c r="J93" s="8" t="s">
        <v>65</v>
      </c>
    </row>
    <row r="94">
      <c r="A94" s="6">
        <f>SUMIF('Bigger Board'!D:D,D94,'Bigger Board'!A:A)</f>
        <v>90</v>
      </c>
      <c r="B94" s="6">
        <f>SUMIF('Bigger Board'!D:D,D94,'Bigger Board'!B:B)</f>
        <v>80</v>
      </c>
      <c r="C94" s="6">
        <f>SUMIF('Bigger Board'!D:D,D94,'Bigger Board'!C:C)</f>
        <v>91</v>
      </c>
      <c r="D94" s="7" t="s">
        <v>190</v>
      </c>
      <c r="E94" s="7" t="s">
        <v>73</v>
      </c>
      <c r="F94" s="6" t="s">
        <v>32</v>
      </c>
      <c r="G94" s="6">
        <f>SUMIF('Bigger Board'!D:D,D94,'Bigger Board'!G:G)</f>
        <v>16</v>
      </c>
      <c r="H94" s="8">
        <f>SUMIF('Bigger Board'!D:D,D94,'Bigger Board'!H:H)</f>
        <v>99.2</v>
      </c>
      <c r="I94" s="9">
        <v>67.0</v>
      </c>
      <c r="J94" s="8" t="s">
        <v>16</v>
      </c>
    </row>
    <row r="95">
      <c r="A95" s="6">
        <f>SUMIF('Bigger Board'!D:D,D95,'Bigger Board'!A:A)</f>
        <v>91</v>
      </c>
      <c r="B95" s="6">
        <f>SUMIF('Bigger Board'!D:D,D95,'Bigger Board'!B:B)</f>
        <v>75</v>
      </c>
      <c r="C95" s="6">
        <f>SUMIF('Bigger Board'!D:D,D95,'Bigger Board'!C:C)</f>
        <v>94</v>
      </c>
      <c r="D95" s="7" t="s">
        <v>191</v>
      </c>
      <c r="E95" s="7" t="s">
        <v>119</v>
      </c>
      <c r="F95" s="6" t="s">
        <v>26</v>
      </c>
      <c r="G95" s="6">
        <f>SUMIF('Bigger Board'!D:D,D95,'Bigger Board'!G:G)</f>
        <v>7</v>
      </c>
      <c r="H95" s="8">
        <f>SUMIF('Bigger Board'!D:D,D95,'Bigger Board'!H:H)</f>
        <v>97.4</v>
      </c>
      <c r="I95" s="9">
        <v>167.0</v>
      </c>
      <c r="J95" s="8" t="s">
        <v>94</v>
      </c>
    </row>
    <row r="96">
      <c r="A96" s="6">
        <f>SUMIF('Bigger Board'!D:D,D96,'Bigger Board'!A:A)</f>
        <v>92</v>
      </c>
      <c r="B96" s="6">
        <f>SUMIF('Bigger Board'!D:D,D96,'Bigger Board'!B:B)</f>
        <v>117</v>
      </c>
      <c r="C96" s="6">
        <f>SUMIF('Bigger Board'!D:D,D96,'Bigger Board'!C:C)</f>
        <v>86</v>
      </c>
      <c r="D96" s="7" t="s">
        <v>192</v>
      </c>
      <c r="E96" s="7" t="s">
        <v>50</v>
      </c>
      <c r="F96" s="6" t="s">
        <v>26</v>
      </c>
      <c r="G96" s="6">
        <f>SUMIF('Bigger Board'!D:D,D96,'Bigger Board'!G:G)</f>
        <v>8</v>
      </c>
      <c r="H96" s="8">
        <f>SUMIF('Bigger Board'!D:D,D96,'Bigger Board'!H:H)</f>
        <v>101</v>
      </c>
      <c r="I96" s="9">
        <v>141.0</v>
      </c>
      <c r="J96" s="8" t="s">
        <v>92</v>
      </c>
    </row>
    <row r="97">
      <c r="A97" s="6">
        <f>SUMIF('Bigger Board'!D:D,D97,'Bigger Board'!A:A)</f>
        <v>93</v>
      </c>
      <c r="B97" s="6">
        <f>SUMIF('Bigger Board'!D:D,D97,'Bigger Board'!B:B)</f>
        <v>100</v>
      </c>
      <c r="C97" s="6">
        <f>SUMIF('Bigger Board'!D:D,D97,'Bigger Board'!C:C)</f>
        <v>93</v>
      </c>
      <c r="D97" s="7" t="s">
        <v>193</v>
      </c>
      <c r="E97" s="7" t="s">
        <v>107</v>
      </c>
      <c r="F97" s="6" t="s">
        <v>170</v>
      </c>
      <c r="G97" s="6">
        <f>SUMIF('Bigger Board'!D:D,D97,'Bigger Board'!G:G)</f>
        <v>3</v>
      </c>
      <c r="H97" s="8">
        <f>SUMIF('Bigger Board'!D:D,D97,'Bigger Board'!H:H)</f>
        <v>101.9</v>
      </c>
      <c r="I97" s="9">
        <v>63.0</v>
      </c>
      <c r="J97" s="8" t="s">
        <v>78</v>
      </c>
    </row>
    <row r="98">
      <c r="A98" s="6">
        <f>SUMIF('Bigger Board'!D:D,D98,'Bigger Board'!A:A)</f>
        <v>94</v>
      </c>
      <c r="B98" s="6">
        <f>SUMIF('Bigger Board'!D:D,D98,'Bigger Board'!B:B)</f>
        <v>122</v>
      </c>
      <c r="C98" s="6">
        <f>SUMIF('Bigger Board'!D:D,D98,'Bigger Board'!C:C)</f>
        <v>92</v>
      </c>
      <c r="D98" s="7" t="s">
        <v>194</v>
      </c>
      <c r="E98" s="7" t="s">
        <v>87</v>
      </c>
      <c r="F98" s="6" t="s">
        <v>23</v>
      </c>
      <c r="G98" s="6">
        <f>SUMIF('Bigger Board'!D:D,D98,'Bigger Board'!G:G)</f>
        <v>4</v>
      </c>
      <c r="H98" s="8">
        <f>SUMIF('Bigger Board'!D:D,D98,'Bigger Board'!H:H)</f>
        <v>98.7</v>
      </c>
      <c r="I98" s="9">
        <v>108.0</v>
      </c>
      <c r="J98" s="8" t="s">
        <v>195</v>
      </c>
    </row>
    <row r="99">
      <c r="A99" s="6">
        <f>SUMIF('Bigger Board'!D:D,D99,'Bigger Board'!A:A)</f>
        <v>95</v>
      </c>
      <c r="B99" s="6">
        <f>SUMIF('Bigger Board'!D:D,D99,'Bigger Board'!B:B)</f>
        <v>78</v>
      </c>
      <c r="C99" s="6">
        <f>SUMIF('Bigger Board'!D:D,D99,'Bigger Board'!C:C)</f>
        <v>97</v>
      </c>
      <c r="D99" s="7" t="s">
        <v>196</v>
      </c>
      <c r="E99" s="7" t="s">
        <v>153</v>
      </c>
      <c r="F99" s="6" t="s">
        <v>170</v>
      </c>
      <c r="G99" s="6">
        <f>SUMIF('Bigger Board'!D:D,D99,'Bigger Board'!G:G)</f>
        <v>4</v>
      </c>
      <c r="H99" s="8">
        <f>SUMIF('Bigger Board'!D:D,D99,'Bigger Board'!H:H)</f>
        <v>97.3</v>
      </c>
      <c r="I99" s="9">
        <v>57.0</v>
      </c>
      <c r="J99" s="8" t="s">
        <v>65</v>
      </c>
    </row>
    <row r="100">
      <c r="A100" s="6">
        <f>SUMIF('Bigger Board'!D:D,D100,'Bigger Board'!A:A)</f>
        <v>96</v>
      </c>
      <c r="B100" s="6">
        <f>SUMIF('Bigger Board'!D:D,D100,'Bigger Board'!B:B)</f>
        <v>87</v>
      </c>
      <c r="C100" s="6">
        <f>SUMIF('Bigger Board'!D:D,D100,'Bigger Board'!C:C)</f>
        <v>96</v>
      </c>
      <c r="D100" s="7" t="s">
        <v>197</v>
      </c>
      <c r="E100" s="7" t="s">
        <v>124</v>
      </c>
      <c r="F100" s="6" t="s">
        <v>40</v>
      </c>
      <c r="G100" s="6">
        <f>SUMIF('Bigger Board'!D:D,D100,'Bigger Board'!G:G)</f>
        <v>17</v>
      </c>
      <c r="H100" s="8">
        <f>SUMIF('Bigger Board'!D:D,D100,'Bigger Board'!H:H)</f>
        <v>88.8</v>
      </c>
      <c r="I100" s="9">
        <v>254.0</v>
      </c>
      <c r="J100" s="8" t="s">
        <v>103</v>
      </c>
    </row>
    <row r="101">
      <c r="A101" s="6">
        <f>SUMIF('Bigger Board'!D:D,D101,'Bigger Board'!A:A)</f>
        <v>97</v>
      </c>
      <c r="B101" s="6">
        <f>SUMIF('Bigger Board'!D:D,D101,'Bigger Board'!B:B)</f>
        <v>97</v>
      </c>
      <c r="C101" s="6">
        <f>SUMIF('Bigger Board'!D:D,D101,'Bigger Board'!C:C)</f>
        <v>95</v>
      </c>
      <c r="D101" s="7" t="s">
        <v>198</v>
      </c>
      <c r="E101" s="7" t="s">
        <v>146</v>
      </c>
      <c r="F101" s="6" t="s">
        <v>26</v>
      </c>
      <c r="G101" s="6">
        <f>SUMIF('Bigger Board'!D:D,D101,'Bigger Board'!G:G)</f>
        <v>9</v>
      </c>
      <c r="H101" s="8">
        <f>SUMIF('Bigger Board'!D:D,D101,'Bigger Board'!H:H)</f>
        <v>97.8</v>
      </c>
      <c r="I101" s="9">
        <v>131.0</v>
      </c>
      <c r="J101" s="8" t="s">
        <v>78</v>
      </c>
    </row>
    <row r="102">
      <c r="A102" s="6">
        <f>SUMIF('Bigger Board'!D:D,D102,'Bigger Board'!A:A)</f>
        <v>98</v>
      </c>
      <c r="B102" s="6">
        <f>SUMIF('Bigger Board'!D:D,D102,'Bigger Board'!B:B)</f>
        <v>93</v>
      </c>
      <c r="C102" s="6">
        <f>SUMIF('Bigger Board'!D:D,D102,'Bigger Board'!C:C)</f>
        <v>98</v>
      </c>
      <c r="D102" s="7" t="s">
        <v>199</v>
      </c>
      <c r="E102" s="7" t="s">
        <v>200</v>
      </c>
      <c r="F102" s="6" t="s">
        <v>85</v>
      </c>
      <c r="G102" s="6">
        <f>SUMIF('Bigger Board'!D:D,D102,'Bigger Board'!G:G)</f>
        <v>3</v>
      </c>
      <c r="H102" s="8">
        <f>SUMIF('Bigger Board'!D:D,D102,'Bigger Board'!H:H)</f>
        <v>92.4</v>
      </c>
      <c r="I102" s="9">
        <v>103.0</v>
      </c>
      <c r="J102" s="8" t="s">
        <v>36</v>
      </c>
    </row>
    <row r="103">
      <c r="A103" s="6">
        <f>SUMIF('Bigger Board'!D:D,D103,'Bigger Board'!A:A)</f>
        <v>99</v>
      </c>
      <c r="B103" s="6">
        <f>SUMIF('Bigger Board'!D:D,D103,'Bigger Board'!B:B)</f>
        <v>89</v>
      </c>
      <c r="C103" s="6">
        <f>SUMIF('Bigger Board'!D:D,D103,'Bigger Board'!C:C)</f>
        <v>100</v>
      </c>
      <c r="D103" s="7" t="s">
        <v>201</v>
      </c>
      <c r="E103" s="7" t="s">
        <v>202</v>
      </c>
      <c r="F103" s="6" t="s">
        <v>40</v>
      </c>
      <c r="G103" s="6">
        <f>SUMIF('Bigger Board'!D:D,D103,'Bigger Board'!G:G)</f>
        <v>18</v>
      </c>
      <c r="H103" s="8">
        <f>SUMIF('Bigger Board'!D:D,D103,'Bigger Board'!H:H)</f>
        <v>119.5</v>
      </c>
      <c r="I103" s="9">
        <v>33.0</v>
      </c>
      <c r="J103" s="8" t="s">
        <v>173</v>
      </c>
    </row>
    <row r="104">
      <c r="A104" s="6">
        <f>SUMIF('Bigger Board'!D:D,D104,'Bigger Board'!A:A)</f>
        <v>100</v>
      </c>
      <c r="B104" s="6">
        <f>SUMIF('Bigger Board'!D:D,D104,'Bigger Board'!B:B)</f>
        <v>108</v>
      </c>
      <c r="C104" s="6">
        <f>SUMIF('Bigger Board'!D:D,D104,'Bigger Board'!C:C)</f>
        <v>99</v>
      </c>
      <c r="D104" s="7" t="s">
        <v>203</v>
      </c>
      <c r="E104" s="7" t="s">
        <v>204</v>
      </c>
      <c r="F104" s="6" t="s">
        <v>23</v>
      </c>
      <c r="G104" s="6">
        <f>SUMIF('Bigger Board'!D:D,D104,'Bigger Board'!G:G)</f>
        <v>5</v>
      </c>
      <c r="H104" s="8">
        <f>SUMIF('Bigger Board'!D:D,D104,'Bigger Board'!H:H)</f>
        <v>89.2</v>
      </c>
      <c r="I104" s="9">
        <v>161.0</v>
      </c>
      <c r="J104" s="8" t="s">
        <v>45</v>
      </c>
    </row>
    <row r="105">
      <c r="A105" s="6">
        <f>SUMIF('Bigger Board'!D:D,D105,'Bigger Board'!A:A)</f>
        <v>101</v>
      </c>
      <c r="B105" s="6">
        <f>SUMIF('Bigger Board'!D:D,D105,'Bigger Board'!B:B)</f>
        <v>99</v>
      </c>
      <c r="C105" s="6">
        <f>SUMIF('Bigger Board'!D:D,D105,'Bigger Board'!C:C)</f>
        <v>103</v>
      </c>
      <c r="D105" s="7" t="s">
        <v>205</v>
      </c>
      <c r="E105" s="7" t="s">
        <v>67</v>
      </c>
      <c r="F105" s="6" t="s">
        <v>63</v>
      </c>
      <c r="G105" s="6">
        <f>SUMIF('Bigger Board'!D:D,D105,'Bigger Board'!G:G)</f>
        <v>4</v>
      </c>
      <c r="H105" s="8">
        <f>SUMIF('Bigger Board'!D:D,D105,'Bigger Board'!H:H)</f>
        <v>113.2</v>
      </c>
      <c r="I105" s="9">
        <v>73.0</v>
      </c>
      <c r="J105" s="8" t="s">
        <v>60</v>
      </c>
    </row>
    <row r="106">
      <c r="A106" s="6">
        <f>SUMIF('Bigger Board'!D:D,D106,'Bigger Board'!A:A)</f>
        <v>102</v>
      </c>
      <c r="B106" s="6">
        <f>SUMIF('Bigger Board'!D:D,D106,'Bigger Board'!B:B)</f>
        <v>101</v>
      </c>
      <c r="C106" s="6">
        <f>SUMIF('Bigger Board'!D:D,D106,'Bigger Board'!C:C)</f>
        <v>101</v>
      </c>
      <c r="D106" s="7" t="s">
        <v>206</v>
      </c>
      <c r="E106" s="7" t="s">
        <v>67</v>
      </c>
      <c r="F106" s="6" t="s">
        <v>44</v>
      </c>
      <c r="G106" s="6">
        <f>SUMIF('Bigger Board'!D:D,D106,'Bigger Board'!G:G)</f>
        <v>14</v>
      </c>
      <c r="H106" s="8">
        <f>SUMIF('Bigger Board'!D:D,D106,'Bigger Board'!H:H)</f>
        <v>102.8</v>
      </c>
      <c r="I106" s="9">
        <v>85.0</v>
      </c>
      <c r="J106" s="8" t="s">
        <v>99</v>
      </c>
    </row>
    <row r="107">
      <c r="A107" s="6">
        <f>SUMIF('Bigger Board'!D:D,D107,'Bigger Board'!A:A)</f>
        <v>103</v>
      </c>
      <c r="B107" s="6">
        <f>SUMIF('Bigger Board'!D:D,D107,'Bigger Board'!B:B)</f>
        <v>119</v>
      </c>
      <c r="C107" s="6">
        <f>SUMIF('Bigger Board'!D:D,D107,'Bigger Board'!C:C)</f>
        <v>102</v>
      </c>
      <c r="D107" s="7" t="s">
        <v>207</v>
      </c>
      <c r="E107" s="7" t="s">
        <v>208</v>
      </c>
      <c r="F107" s="6" t="s">
        <v>63</v>
      </c>
      <c r="G107" s="6">
        <f>SUMIF('Bigger Board'!D:D,D107,'Bigger Board'!G:G)</f>
        <v>5</v>
      </c>
      <c r="H107" s="8">
        <f>SUMIF('Bigger Board'!D:D,D107,'Bigger Board'!H:H)</f>
        <v>91</v>
      </c>
      <c r="I107" s="9">
        <v>69.0</v>
      </c>
      <c r="J107" s="8" t="s">
        <v>65</v>
      </c>
    </row>
    <row r="108">
      <c r="A108" s="6">
        <f>SUMIF('Bigger Board'!D:D,D108,'Bigger Board'!A:A)</f>
        <v>104</v>
      </c>
      <c r="B108" s="6">
        <f>SUMIF('Bigger Board'!D:D,D108,'Bigger Board'!B:B)</f>
        <v>114</v>
      </c>
      <c r="C108" s="6">
        <f>SUMIF('Bigger Board'!D:D,D108,'Bigger Board'!C:C)</f>
        <v>104</v>
      </c>
      <c r="D108" s="7" t="s">
        <v>209</v>
      </c>
      <c r="E108" s="7" t="s">
        <v>166</v>
      </c>
      <c r="F108" s="6" t="s">
        <v>44</v>
      </c>
      <c r="G108" s="6">
        <f>SUMIF('Bigger Board'!D:D,D108,'Bigger Board'!G:G)</f>
        <v>15</v>
      </c>
      <c r="H108" s="8">
        <f>SUMIF('Bigger Board'!D:D,D108,'Bigger Board'!H:H)</f>
        <v>97.3</v>
      </c>
      <c r="I108" s="9">
        <v>99.0</v>
      </c>
      <c r="J108" s="8" t="s">
        <v>135</v>
      </c>
    </row>
    <row r="109">
      <c r="A109" s="6">
        <f>SUMIF('Bigger Board'!D:D,D109,'Bigger Board'!A:A)</f>
        <v>105</v>
      </c>
      <c r="B109" s="6">
        <f>SUMIF('Bigger Board'!D:D,D109,'Bigger Board'!B:B)</f>
        <v>103</v>
      </c>
      <c r="C109" s="6">
        <f>SUMIF('Bigger Board'!D:D,D109,'Bigger Board'!C:C)</f>
        <v>106</v>
      </c>
      <c r="D109" s="7" t="s">
        <v>210</v>
      </c>
      <c r="E109" s="7" t="s">
        <v>107</v>
      </c>
      <c r="F109" s="6" t="s">
        <v>38</v>
      </c>
      <c r="G109" s="6">
        <f>SUMIF('Bigger Board'!D:D,D109,'Bigger Board'!G:G)</f>
        <v>9</v>
      </c>
      <c r="H109" s="8">
        <f>SUMIF('Bigger Board'!D:D,D109,'Bigger Board'!H:H)</f>
        <v>94.6</v>
      </c>
      <c r="I109" s="9">
        <v>86.0</v>
      </c>
      <c r="J109" s="8" t="s">
        <v>48</v>
      </c>
    </row>
    <row r="110">
      <c r="A110" s="6">
        <f>SUMIF('Bigger Board'!D:D,D110,'Bigger Board'!A:A)</f>
        <v>106</v>
      </c>
      <c r="B110" s="6">
        <f>SUMIF('Bigger Board'!D:D,D110,'Bigger Board'!B:B)</f>
        <v>95</v>
      </c>
      <c r="C110" s="6">
        <f>SUMIF('Bigger Board'!D:D,D110,'Bigger Board'!C:C)</f>
        <v>105</v>
      </c>
      <c r="D110" s="7" t="s">
        <v>211</v>
      </c>
      <c r="E110" s="7" t="s">
        <v>212</v>
      </c>
      <c r="F110" s="6" t="s">
        <v>54</v>
      </c>
      <c r="G110" s="6">
        <f>SUMIF('Bigger Board'!D:D,D110,'Bigger Board'!G:G)</f>
        <v>6</v>
      </c>
      <c r="H110" s="8">
        <f>SUMIF('Bigger Board'!D:D,D110,'Bigger Board'!H:H)</f>
        <v>88.8</v>
      </c>
      <c r="I110" s="9">
        <v>113.0</v>
      </c>
      <c r="J110" s="8" t="s">
        <v>103</v>
      </c>
    </row>
    <row r="111">
      <c r="A111" s="6">
        <f>SUMIF('Bigger Board'!D:D,D111,'Bigger Board'!A:A)</f>
        <v>107</v>
      </c>
      <c r="B111" s="6">
        <f>SUMIF('Bigger Board'!D:D,D111,'Bigger Board'!B:B)</f>
        <v>113</v>
      </c>
      <c r="C111" s="6">
        <f>SUMIF('Bigger Board'!D:D,D111,'Bigger Board'!C:C)</f>
        <v>107</v>
      </c>
      <c r="D111" s="7" t="s">
        <v>213</v>
      </c>
      <c r="E111" s="7" t="s">
        <v>107</v>
      </c>
      <c r="F111" s="6" t="s">
        <v>44</v>
      </c>
      <c r="G111" s="6">
        <f>SUMIF('Bigger Board'!D:D,D111,'Bigger Board'!G:G)</f>
        <v>16</v>
      </c>
      <c r="H111" s="8">
        <f>SUMIF('Bigger Board'!D:D,D111,'Bigger Board'!H:H)</f>
        <v>89.2</v>
      </c>
      <c r="I111" s="9">
        <v>114.0</v>
      </c>
      <c r="J111" s="8" t="s">
        <v>27</v>
      </c>
    </row>
    <row r="112">
      <c r="A112" s="6">
        <f>SUMIF('Bigger Board'!D:D,D112,'Bigger Board'!A:A)</f>
        <v>108</v>
      </c>
      <c r="B112" s="6">
        <f>SUMIF('Bigger Board'!D:D,D112,'Bigger Board'!B:B)</f>
        <v>104</v>
      </c>
      <c r="C112" s="6">
        <f>SUMIF('Bigger Board'!D:D,D112,'Bigger Board'!C:C)</f>
        <v>111</v>
      </c>
      <c r="D112" s="7" t="s">
        <v>214</v>
      </c>
      <c r="E112" s="7" t="s">
        <v>112</v>
      </c>
      <c r="F112" s="6" t="s">
        <v>85</v>
      </c>
      <c r="G112" s="6">
        <f>SUMIF('Bigger Board'!D:D,D112,'Bigger Board'!G:G)</f>
        <v>4</v>
      </c>
      <c r="H112" s="8">
        <f>SUMIF('Bigger Board'!D:D,D112,'Bigger Board'!H:H)</f>
        <v>101.9</v>
      </c>
      <c r="I112" s="9">
        <v>77.0</v>
      </c>
      <c r="J112" s="8" t="s">
        <v>120</v>
      </c>
    </row>
    <row r="113">
      <c r="A113" s="6">
        <f>SUMIF('Bigger Board'!D:D,D113,'Bigger Board'!A:A)</f>
        <v>109</v>
      </c>
      <c r="B113" s="6">
        <f>SUMIF('Bigger Board'!D:D,D113,'Bigger Board'!B:B)</f>
        <v>98</v>
      </c>
      <c r="C113" s="6">
        <f>SUMIF('Bigger Board'!D:D,D113,'Bigger Board'!C:C)</f>
        <v>113</v>
      </c>
      <c r="D113" s="7" t="s">
        <v>215</v>
      </c>
      <c r="E113" s="7" t="s">
        <v>216</v>
      </c>
      <c r="F113" s="6" t="s">
        <v>40</v>
      </c>
      <c r="G113" s="6">
        <f>SUMIF('Bigger Board'!D:D,D113,'Bigger Board'!G:G)</f>
        <v>19</v>
      </c>
      <c r="H113" s="8">
        <f>SUMIF('Bigger Board'!D:D,D113,'Bigger Board'!H:H)</f>
        <v>101</v>
      </c>
      <c r="I113" s="9">
        <v>105.0</v>
      </c>
      <c r="J113" s="8" t="s">
        <v>78</v>
      </c>
    </row>
    <row r="114">
      <c r="A114" s="6">
        <f>SUMIF('Bigger Board'!D:D,D114,'Bigger Board'!A:A)</f>
        <v>110</v>
      </c>
      <c r="B114" s="6">
        <f>SUMIF('Bigger Board'!D:D,D114,'Bigger Board'!B:B)</f>
        <v>92</v>
      </c>
      <c r="C114" s="6">
        <f>SUMIF('Bigger Board'!D:D,D114,'Bigger Board'!C:C)</f>
        <v>118</v>
      </c>
      <c r="D114" s="7" t="s">
        <v>217</v>
      </c>
      <c r="E114" s="7" t="s">
        <v>80</v>
      </c>
      <c r="F114" s="6" t="s">
        <v>170</v>
      </c>
      <c r="G114" s="6">
        <f>SUMIF('Bigger Board'!D:D,D114,'Bigger Board'!G:G)</f>
        <v>5</v>
      </c>
      <c r="H114" s="8">
        <f>SUMIF('Bigger Board'!D:D,D114,'Bigger Board'!H:H)</f>
        <v>97.8</v>
      </c>
      <c r="I114" s="9">
        <v>91.0</v>
      </c>
      <c r="J114" s="8" t="s">
        <v>16</v>
      </c>
    </row>
    <row r="115">
      <c r="A115" s="6">
        <f>SUMIF('Bigger Board'!D:D,D115,'Bigger Board'!A:A)</f>
        <v>111</v>
      </c>
      <c r="B115" s="6">
        <f>SUMIF('Bigger Board'!D:D,D115,'Bigger Board'!B:B)</f>
        <v>105</v>
      </c>
      <c r="C115" s="6">
        <f>SUMIF('Bigger Board'!D:D,D115,'Bigger Board'!C:C)</f>
        <v>110</v>
      </c>
      <c r="D115" s="7" t="s">
        <v>218</v>
      </c>
      <c r="E115" s="7" t="s">
        <v>185</v>
      </c>
      <c r="F115" s="6" t="s">
        <v>170</v>
      </c>
      <c r="G115" s="6">
        <f>SUMIF('Bigger Board'!D:D,D115,'Bigger Board'!G:G)</f>
        <v>6</v>
      </c>
      <c r="H115" s="8">
        <f>SUMIF('Bigger Board'!D:D,D115,'Bigger Board'!H:H)</f>
        <v>87.4</v>
      </c>
      <c r="I115" s="9">
        <v>189.0</v>
      </c>
      <c r="J115" s="8" t="s">
        <v>105</v>
      </c>
    </row>
    <row r="116">
      <c r="A116" s="6">
        <f>SUMIF('Bigger Board'!D:D,D116,'Bigger Board'!A:A)</f>
        <v>112</v>
      </c>
      <c r="B116" s="6">
        <f>SUMIF('Bigger Board'!D:D,D116,'Bigger Board'!B:B)</f>
        <v>107</v>
      </c>
      <c r="C116" s="6">
        <f>SUMIF('Bigger Board'!D:D,D116,'Bigger Board'!C:C)</f>
        <v>108</v>
      </c>
      <c r="D116" s="7" t="s">
        <v>219</v>
      </c>
      <c r="E116" s="7" t="s">
        <v>70</v>
      </c>
      <c r="F116" s="6" t="s">
        <v>32</v>
      </c>
      <c r="G116" s="6">
        <f>SUMIF('Bigger Board'!D:D,D116,'Bigger Board'!G:G)</f>
        <v>17</v>
      </c>
      <c r="H116" s="8">
        <f>SUMIF('Bigger Board'!D:D,D116,'Bigger Board'!H:H)</f>
        <v>100.5</v>
      </c>
      <c r="I116" s="9">
        <v>137.0</v>
      </c>
      <c r="J116" s="8" t="s">
        <v>27</v>
      </c>
    </row>
    <row r="117">
      <c r="A117" s="6">
        <f>SUMIF('Bigger Board'!D:D,D117,'Bigger Board'!A:A)</f>
        <v>113</v>
      </c>
      <c r="B117" s="6">
        <f>SUMIF('Bigger Board'!D:D,D117,'Bigger Board'!B:B)</f>
        <v>109</v>
      </c>
      <c r="C117" s="6">
        <f>SUMIF('Bigger Board'!D:D,D117,'Bigger Board'!C:C)</f>
        <v>109</v>
      </c>
      <c r="D117" s="7" t="s">
        <v>220</v>
      </c>
      <c r="E117" s="7" t="s">
        <v>50</v>
      </c>
      <c r="F117" s="6" t="s">
        <v>40</v>
      </c>
      <c r="G117" s="6">
        <f>SUMIF('Bigger Board'!D:D,D117,'Bigger Board'!G:G)</f>
        <v>20</v>
      </c>
      <c r="H117" s="8">
        <f>SUMIF('Bigger Board'!D:D,D117,'Bigger Board'!H:H)</f>
        <v>105.5</v>
      </c>
      <c r="I117" s="9">
        <v>80.0</v>
      </c>
      <c r="J117" s="8" t="s">
        <v>55</v>
      </c>
    </row>
    <row r="118">
      <c r="A118" s="6">
        <f>SUMIF('Bigger Board'!D:D,D118,'Bigger Board'!A:A)</f>
        <v>114</v>
      </c>
      <c r="B118" s="6">
        <f>SUMIF('Bigger Board'!D:D,D118,'Bigger Board'!B:B)</f>
        <v>102</v>
      </c>
      <c r="C118" s="6">
        <f>SUMIF('Bigger Board'!D:D,D118,'Bigger Board'!C:C)</f>
        <v>120</v>
      </c>
      <c r="D118" s="7" t="s">
        <v>221</v>
      </c>
      <c r="E118" s="7" t="s">
        <v>31</v>
      </c>
      <c r="F118" s="6" t="s">
        <v>15</v>
      </c>
      <c r="G118" s="6">
        <f>SUMIF('Bigger Board'!D:D,D118,'Bigger Board'!G:G)</f>
        <v>4</v>
      </c>
      <c r="H118" s="8">
        <f>SUMIF('Bigger Board'!D:D,D118,'Bigger Board'!H:H)</f>
        <v>92.8</v>
      </c>
      <c r="I118" s="9">
        <v>65.0</v>
      </c>
      <c r="J118" s="8" t="s">
        <v>24</v>
      </c>
    </row>
    <row r="119">
      <c r="A119" s="6">
        <f>SUMIF('Bigger Board'!D:D,D119,'Bigger Board'!A:A)</f>
        <v>115</v>
      </c>
      <c r="B119" s="6">
        <f>SUMIF('Bigger Board'!D:D,D119,'Bigger Board'!B:B)</f>
        <v>110</v>
      </c>
      <c r="C119" s="6">
        <f>SUMIF('Bigger Board'!D:D,D119,'Bigger Board'!C:C)</f>
        <v>112</v>
      </c>
      <c r="D119" s="7" t="s">
        <v>222</v>
      </c>
      <c r="E119" s="7" t="s">
        <v>223</v>
      </c>
      <c r="F119" s="6" t="s">
        <v>63</v>
      </c>
      <c r="G119" s="6">
        <f>SUMIF('Bigger Board'!D:D,D119,'Bigger Board'!G:G)</f>
        <v>6</v>
      </c>
      <c r="H119" s="8">
        <f>SUMIF('Bigger Board'!D:D,D119,'Bigger Board'!H:H)</f>
        <v>82.9</v>
      </c>
      <c r="I119" s="9">
        <v>152.0</v>
      </c>
      <c r="J119" s="8" t="s">
        <v>195</v>
      </c>
    </row>
    <row r="120">
      <c r="A120" s="6">
        <f>SUMIF('Bigger Board'!D:D,D120,'Bigger Board'!A:A)</f>
        <v>116</v>
      </c>
      <c r="B120" s="6">
        <f>SUMIF('Bigger Board'!D:D,D120,'Bigger Board'!B:B)</f>
        <v>124</v>
      </c>
      <c r="C120" s="6">
        <f>SUMIF('Bigger Board'!D:D,D120,'Bigger Board'!C:C)</f>
        <v>114</v>
      </c>
      <c r="D120" s="7" t="s">
        <v>224</v>
      </c>
      <c r="E120" s="7" t="s">
        <v>31</v>
      </c>
      <c r="F120" s="6" t="s">
        <v>38</v>
      </c>
      <c r="G120" s="6">
        <f>SUMIF('Bigger Board'!D:D,D120,'Bigger Board'!G:G)</f>
        <v>10</v>
      </c>
      <c r="H120" s="8">
        <f>SUMIF('Bigger Board'!D:D,D120,'Bigger Board'!H:H)</f>
        <v>107.3</v>
      </c>
      <c r="I120" s="9">
        <v>68.0</v>
      </c>
      <c r="J120" s="8" t="s">
        <v>51</v>
      </c>
    </row>
    <row r="121">
      <c r="A121" s="6">
        <f>SUMIF('Bigger Board'!D:D,D121,'Bigger Board'!A:A)</f>
        <v>117</v>
      </c>
      <c r="B121" s="6">
        <f>SUMIF('Bigger Board'!D:D,D121,'Bigger Board'!B:B)</f>
        <v>137</v>
      </c>
      <c r="C121" s="6">
        <f>SUMIF('Bigger Board'!D:D,D121,'Bigger Board'!C:C)</f>
        <v>115</v>
      </c>
      <c r="D121" s="7" t="s">
        <v>225</v>
      </c>
      <c r="E121" s="7" t="s">
        <v>70</v>
      </c>
      <c r="F121" s="6" t="s">
        <v>19</v>
      </c>
      <c r="G121" s="6">
        <f>SUMIF('Bigger Board'!D:D,D121,'Bigger Board'!G:G)</f>
        <v>9</v>
      </c>
      <c r="H121" s="8">
        <f>SUMIF('Bigger Board'!D:D,D121,'Bigger Board'!H:H)</f>
        <v>116.8</v>
      </c>
      <c r="I121" s="9"/>
      <c r="J121" s="8"/>
    </row>
    <row r="122">
      <c r="A122" s="6">
        <f>SUMIF('Bigger Board'!D:D,D122,'Bigger Board'!A:A)</f>
        <v>118</v>
      </c>
      <c r="B122" s="6">
        <f>SUMIF('Bigger Board'!D:D,D122,'Bigger Board'!B:B)</f>
        <v>118</v>
      </c>
      <c r="C122" s="6">
        <f>SUMIF('Bigger Board'!D:D,D122,'Bigger Board'!C:C)</f>
        <v>116</v>
      </c>
      <c r="D122" s="7" t="s">
        <v>226</v>
      </c>
      <c r="E122" s="7" t="s">
        <v>227</v>
      </c>
      <c r="F122" s="6" t="s">
        <v>63</v>
      </c>
      <c r="G122" s="6">
        <f>SUMIF('Bigger Board'!D:D,D122,'Bigger Board'!G:G)</f>
        <v>7</v>
      </c>
      <c r="H122" s="8">
        <f>SUMIF('Bigger Board'!D:D,D122,'Bigger Board'!H:H)</f>
        <v>101</v>
      </c>
      <c r="I122" s="9"/>
      <c r="J122" s="8"/>
    </row>
    <row r="123">
      <c r="A123" s="6">
        <f>SUMIF('Bigger Board'!D:D,D123,'Bigger Board'!A:A)</f>
        <v>119</v>
      </c>
      <c r="B123" s="6">
        <f>SUMIF('Bigger Board'!D:D,D123,'Bigger Board'!B:B)</f>
        <v>111</v>
      </c>
      <c r="C123" s="6">
        <f>SUMIF('Bigger Board'!D:D,D123,'Bigger Board'!C:C)</f>
        <v>117</v>
      </c>
      <c r="D123" s="7" t="s">
        <v>228</v>
      </c>
      <c r="E123" s="7" t="s">
        <v>80</v>
      </c>
      <c r="F123" s="6" t="s">
        <v>44</v>
      </c>
      <c r="G123" s="6">
        <f>SUMIF('Bigger Board'!D:D,D123,'Bigger Board'!G:G)</f>
        <v>17</v>
      </c>
      <c r="H123" s="8">
        <f>SUMIF('Bigger Board'!D:D,D123,'Bigger Board'!H:H)</f>
        <v>83.8</v>
      </c>
      <c r="I123" s="9">
        <v>129.0</v>
      </c>
      <c r="J123" s="8" t="s">
        <v>68</v>
      </c>
    </row>
    <row r="124">
      <c r="A124" s="6">
        <f>SUMIF('Bigger Board'!D:D,D124,'Bigger Board'!A:A)</f>
        <v>120</v>
      </c>
      <c r="B124" s="6">
        <f>SUMIF('Bigger Board'!D:D,D124,'Bigger Board'!B:B)</f>
        <v>112</v>
      </c>
      <c r="C124" s="6">
        <f>SUMIF('Bigger Board'!D:D,D124,'Bigger Board'!C:C)</f>
        <v>119</v>
      </c>
      <c r="D124" s="7" t="s">
        <v>229</v>
      </c>
      <c r="E124" s="7" t="s">
        <v>87</v>
      </c>
      <c r="F124" s="6" t="s">
        <v>44</v>
      </c>
      <c r="G124" s="6">
        <f>SUMIF('Bigger Board'!D:D,D124,'Bigger Board'!G:G)</f>
        <v>18</v>
      </c>
      <c r="H124" s="8">
        <f>SUMIF('Bigger Board'!D:D,D124,'Bigger Board'!H:H)</f>
        <v>96.9</v>
      </c>
      <c r="I124" s="9">
        <v>72.0</v>
      </c>
      <c r="J124" s="8" t="s">
        <v>105</v>
      </c>
    </row>
    <row r="125">
      <c r="A125" s="6">
        <f>SUMIF('Bigger Board'!D:D,D125,'Bigger Board'!A:A)</f>
        <v>121</v>
      </c>
      <c r="B125" s="6">
        <f>SUMIF('Bigger Board'!D:D,D125,'Bigger Board'!B:B)</f>
        <v>120</v>
      </c>
      <c r="C125" s="6">
        <f>SUMIF('Bigger Board'!D:D,D125,'Bigger Board'!C:C)</f>
        <v>122</v>
      </c>
      <c r="D125" s="7" t="s">
        <v>230</v>
      </c>
      <c r="E125" s="7" t="s">
        <v>53</v>
      </c>
      <c r="F125" s="6" t="s">
        <v>15</v>
      </c>
      <c r="G125" s="6">
        <f>SUMIF('Bigger Board'!D:D,D125,'Bigger Board'!G:G)</f>
        <v>5</v>
      </c>
      <c r="H125" s="8">
        <f>SUMIF('Bigger Board'!D:D,D125,'Bigger Board'!H:H)</f>
        <v>91.9</v>
      </c>
      <c r="I125" s="9">
        <v>76.0</v>
      </c>
      <c r="J125" s="8" t="s">
        <v>99</v>
      </c>
    </row>
    <row r="126">
      <c r="A126" s="6">
        <f>SUMIF('Bigger Board'!D:D,D126,'Bigger Board'!A:A)</f>
        <v>122</v>
      </c>
      <c r="B126" s="6">
        <f>SUMIF('Bigger Board'!D:D,D126,'Bigger Board'!B:B)</f>
        <v>144</v>
      </c>
      <c r="C126" s="6">
        <f>SUMIF('Bigger Board'!D:D,D126,'Bigger Board'!C:C)</f>
        <v>123</v>
      </c>
      <c r="D126" s="7" t="s">
        <v>231</v>
      </c>
      <c r="E126" s="7" t="s">
        <v>177</v>
      </c>
      <c r="F126" s="6" t="s">
        <v>26</v>
      </c>
      <c r="G126" s="6">
        <f>SUMIF('Bigger Board'!D:D,D126,'Bigger Board'!G:G)</f>
        <v>10</v>
      </c>
      <c r="H126" s="8">
        <f>SUMIF('Bigger Board'!D:D,D126,'Bigger Board'!H:H)</f>
        <v>106.8</v>
      </c>
      <c r="I126" s="9">
        <v>228.0</v>
      </c>
      <c r="J126" s="8" t="s">
        <v>36</v>
      </c>
    </row>
    <row r="127">
      <c r="A127" s="6">
        <f>SUMIF('Bigger Board'!D:D,D127,'Bigger Board'!A:A)</f>
        <v>123</v>
      </c>
      <c r="B127" s="6">
        <f>SUMIF('Bigger Board'!D:D,D127,'Bigger Board'!B:B)</f>
        <v>129</v>
      </c>
      <c r="C127" s="6">
        <f>SUMIF('Bigger Board'!D:D,D127,'Bigger Board'!C:C)</f>
        <v>126</v>
      </c>
      <c r="D127" s="7" t="s">
        <v>232</v>
      </c>
      <c r="E127" s="7" t="s">
        <v>233</v>
      </c>
      <c r="F127" s="6" t="s">
        <v>234</v>
      </c>
      <c r="G127" s="6">
        <f>SUMIF('Bigger Board'!D:D,D127,'Bigger Board'!G:G)</f>
        <v>1</v>
      </c>
      <c r="H127" s="8">
        <f>SUMIF('Bigger Board'!D:D,D127,'Bigger Board'!H:H)</f>
        <v>104.6</v>
      </c>
      <c r="I127" s="9">
        <v>104.0</v>
      </c>
      <c r="J127" s="8" t="s">
        <v>24</v>
      </c>
    </row>
    <row r="128">
      <c r="A128" s="6">
        <f>SUMIF('Bigger Board'!D:D,D128,'Bigger Board'!A:A)</f>
        <v>124</v>
      </c>
      <c r="B128" s="6">
        <f>SUMIF('Bigger Board'!D:D,D128,'Bigger Board'!B:B)</f>
        <v>116</v>
      </c>
      <c r="C128" s="6">
        <f>SUMIF('Bigger Board'!D:D,D128,'Bigger Board'!C:C)</f>
        <v>128</v>
      </c>
      <c r="D128" s="7" t="s">
        <v>235</v>
      </c>
      <c r="E128" s="7" t="s">
        <v>80</v>
      </c>
      <c r="F128" s="6" t="s">
        <v>38</v>
      </c>
      <c r="G128" s="6">
        <f>SUMIF('Bigger Board'!D:D,D128,'Bigger Board'!G:G)</f>
        <v>11</v>
      </c>
      <c r="H128" s="8">
        <f>SUMIF('Bigger Board'!D:D,D128,'Bigger Board'!H:H)</f>
        <v>94.2</v>
      </c>
      <c r="I128" s="9">
        <v>196.0</v>
      </c>
      <c r="J128" s="8" t="s">
        <v>89</v>
      </c>
    </row>
    <row r="129">
      <c r="A129" s="6">
        <f>SUMIF('Bigger Board'!D:D,D129,'Bigger Board'!A:A)</f>
        <v>125</v>
      </c>
      <c r="B129" s="6">
        <f>SUMIF('Bigger Board'!D:D,D129,'Bigger Board'!B:B)</f>
        <v>140</v>
      </c>
      <c r="C129" s="6">
        <f>SUMIF('Bigger Board'!D:D,D129,'Bigger Board'!C:C)</f>
        <v>125</v>
      </c>
      <c r="D129" s="7" t="s">
        <v>236</v>
      </c>
      <c r="E129" s="7" t="s">
        <v>22</v>
      </c>
      <c r="F129" s="6" t="s">
        <v>54</v>
      </c>
      <c r="G129" s="6">
        <f>SUMIF('Bigger Board'!D:D,D129,'Bigger Board'!G:G)</f>
        <v>7</v>
      </c>
      <c r="H129" s="8">
        <f>SUMIF('Bigger Board'!D:D,D129,'Bigger Board'!H:H)</f>
        <v>83.4</v>
      </c>
      <c r="I129" s="9">
        <v>160.0</v>
      </c>
      <c r="J129" s="8" t="s">
        <v>33</v>
      </c>
    </row>
    <row r="130">
      <c r="A130" s="6">
        <f>SUMIF('Bigger Board'!D:D,D130,'Bigger Board'!A:A)</f>
        <v>126</v>
      </c>
      <c r="B130" s="6">
        <f>SUMIF('Bigger Board'!D:D,D130,'Bigger Board'!B:B)</f>
        <v>142</v>
      </c>
      <c r="C130" s="6">
        <f>SUMIF('Bigger Board'!D:D,D130,'Bigger Board'!C:C)</f>
        <v>121</v>
      </c>
      <c r="D130" s="7" t="s">
        <v>237</v>
      </c>
      <c r="E130" s="7" t="s">
        <v>22</v>
      </c>
      <c r="F130" s="6" t="s">
        <v>63</v>
      </c>
      <c r="G130" s="6">
        <f>SUMIF('Bigger Board'!D:D,D130,'Bigger Board'!G:G)</f>
        <v>8</v>
      </c>
      <c r="H130" s="8">
        <f>SUMIF('Bigger Board'!D:D,D130,'Bigger Board'!H:H)</f>
        <v>95.6</v>
      </c>
      <c r="I130" s="9">
        <v>95.0</v>
      </c>
      <c r="J130" s="8" t="s">
        <v>89</v>
      </c>
    </row>
    <row r="131">
      <c r="A131" s="6">
        <f>SUMIF('Bigger Board'!D:D,D131,'Bigger Board'!A:A)</f>
        <v>127</v>
      </c>
      <c r="B131" s="6">
        <f>SUMIF('Bigger Board'!D:D,D131,'Bigger Board'!B:B)</f>
        <v>127</v>
      </c>
      <c r="C131" s="6">
        <f>SUMIF('Bigger Board'!D:D,D131,'Bigger Board'!C:C)</f>
        <v>124</v>
      </c>
      <c r="D131" s="7" t="s">
        <v>238</v>
      </c>
      <c r="E131" s="7" t="s">
        <v>187</v>
      </c>
      <c r="F131" s="6" t="s">
        <v>15</v>
      </c>
      <c r="G131" s="6">
        <f>SUMIF('Bigger Board'!D:D,D131,'Bigger Board'!G:G)</f>
        <v>6</v>
      </c>
      <c r="H131" s="8">
        <f>SUMIF('Bigger Board'!D:D,D131,'Bigger Board'!H:H)</f>
        <v>101</v>
      </c>
      <c r="I131" s="9">
        <v>178.0</v>
      </c>
      <c r="J131" s="8" t="s">
        <v>51</v>
      </c>
    </row>
    <row r="132">
      <c r="A132" s="6">
        <f>SUMIF('Bigger Board'!D:D,D132,'Bigger Board'!A:A)</f>
        <v>128</v>
      </c>
      <c r="B132" s="6">
        <f>SUMIF('Bigger Board'!D:D,D132,'Bigger Board'!B:B)</f>
        <v>158</v>
      </c>
      <c r="C132" s="6">
        <f>SUMIF('Bigger Board'!D:D,D132,'Bigger Board'!C:C)</f>
        <v>127</v>
      </c>
      <c r="D132" s="7" t="s">
        <v>239</v>
      </c>
      <c r="E132" s="7" t="s">
        <v>128</v>
      </c>
      <c r="F132" s="6" t="s">
        <v>63</v>
      </c>
      <c r="G132" s="6">
        <f>SUMIF('Bigger Board'!D:D,D132,'Bigger Board'!G:G)</f>
        <v>9</v>
      </c>
      <c r="H132" s="8">
        <f>SUMIF('Bigger Board'!D:D,D132,'Bigger Board'!H:H)</f>
        <v>101.4</v>
      </c>
      <c r="I132" s="9">
        <v>221.0</v>
      </c>
      <c r="J132" s="8" t="s">
        <v>105</v>
      </c>
    </row>
    <row r="133">
      <c r="A133" s="6">
        <f>SUMIF('Bigger Board'!D:D,D133,'Bigger Board'!A:A)</f>
        <v>129</v>
      </c>
      <c r="B133" s="6">
        <f>SUMIF('Bigger Board'!D:D,D133,'Bigger Board'!B:B)</f>
        <v>125</v>
      </c>
      <c r="C133" s="6">
        <f>SUMIF('Bigger Board'!D:D,D133,'Bigger Board'!C:C)</f>
        <v>135</v>
      </c>
      <c r="D133" s="7" t="s">
        <v>240</v>
      </c>
      <c r="E133" s="7" t="s">
        <v>80</v>
      </c>
      <c r="F133" s="6" t="s">
        <v>234</v>
      </c>
      <c r="G133" s="6">
        <f>SUMIF('Bigger Board'!D:D,D133,'Bigger Board'!G:G)</f>
        <v>2</v>
      </c>
      <c r="H133" s="8">
        <f>SUMIF('Bigger Board'!D:D,D133,'Bigger Board'!H:H)</f>
        <v>116.3</v>
      </c>
      <c r="I133" s="9">
        <v>66.0</v>
      </c>
      <c r="J133" s="8" t="s">
        <v>195</v>
      </c>
    </row>
    <row r="134">
      <c r="A134" s="6">
        <f>SUMIF('Bigger Board'!D:D,D134,'Bigger Board'!A:A)</f>
        <v>130</v>
      </c>
      <c r="B134" s="6">
        <f>SUMIF('Bigger Board'!D:D,D134,'Bigger Board'!B:B)</f>
        <v>135</v>
      </c>
      <c r="C134" s="6">
        <f>SUMIF('Bigger Board'!D:D,D134,'Bigger Board'!C:C)</f>
        <v>129</v>
      </c>
      <c r="D134" s="7" t="s">
        <v>241</v>
      </c>
      <c r="E134" s="7" t="s">
        <v>53</v>
      </c>
      <c r="F134" s="6" t="s">
        <v>23</v>
      </c>
      <c r="G134" s="6">
        <f>SUMIF('Bigger Board'!D:D,D134,'Bigger Board'!G:G)</f>
        <v>6</v>
      </c>
      <c r="H134" s="8">
        <f>SUMIF('Bigger Board'!D:D,D134,'Bigger Board'!H:H)</f>
        <v>81.1</v>
      </c>
      <c r="I134" s="9">
        <v>187.0</v>
      </c>
      <c r="J134" s="8" t="s">
        <v>29</v>
      </c>
    </row>
    <row r="135">
      <c r="A135" s="6">
        <f>SUMIF('Bigger Board'!D:D,D135,'Bigger Board'!A:A)</f>
        <v>131</v>
      </c>
      <c r="B135" s="6">
        <f>SUMIF('Bigger Board'!D:D,D135,'Bigger Board'!B:B)</f>
        <v>115</v>
      </c>
      <c r="C135" s="6">
        <f>SUMIF('Bigger Board'!D:D,D135,'Bigger Board'!C:C)</f>
        <v>131</v>
      </c>
      <c r="D135" s="7" t="s">
        <v>242</v>
      </c>
      <c r="E135" s="7" t="s">
        <v>243</v>
      </c>
      <c r="F135" s="6" t="s">
        <v>54</v>
      </c>
      <c r="G135" s="6">
        <f>SUMIF('Bigger Board'!D:D,D135,'Bigger Board'!G:G)</f>
        <v>8</v>
      </c>
      <c r="H135" s="8">
        <f>SUMIF('Bigger Board'!D:D,D135,'Bigger Board'!H:H)</f>
        <v>84.2</v>
      </c>
      <c r="I135" s="9">
        <v>111.0</v>
      </c>
      <c r="J135" s="8" t="s">
        <v>195</v>
      </c>
    </row>
    <row r="136">
      <c r="A136" s="6">
        <f>SUMIF('Bigger Board'!D:D,D136,'Bigger Board'!A:A)</f>
        <v>132</v>
      </c>
      <c r="B136" s="6">
        <f>SUMIF('Bigger Board'!D:D,D136,'Bigger Board'!B:B)</f>
        <v>134</v>
      </c>
      <c r="C136" s="6">
        <f>SUMIF('Bigger Board'!D:D,D136,'Bigger Board'!C:C)</f>
        <v>130</v>
      </c>
      <c r="D136" s="7" t="s">
        <v>244</v>
      </c>
      <c r="E136" s="7" t="s">
        <v>245</v>
      </c>
      <c r="F136" s="6" t="s">
        <v>38</v>
      </c>
      <c r="G136" s="6">
        <f>SUMIF('Bigger Board'!D:D,D136,'Bigger Board'!G:G)</f>
        <v>12</v>
      </c>
      <c r="H136" s="8">
        <f>SUMIF('Bigger Board'!D:D,D136,'Bigger Board'!H:H)</f>
        <v>78.4</v>
      </c>
      <c r="I136" s="9">
        <v>102.0</v>
      </c>
      <c r="J136" s="8" t="s">
        <v>94</v>
      </c>
    </row>
    <row r="137">
      <c r="A137" s="6">
        <f>SUMIF('Bigger Board'!D:D,D137,'Bigger Board'!A:A)</f>
        <v>133</v>
      </c>
      <c r="B137" s="6">
        <f>SUMIF('Bigger Board'!D:D,D137,'Bigger Board'!B:B)</f>
        <v>126</v>
      </c>
      <c r="C137" s="6">
        <f>SUMIF('Bigger Board'!D:D,D137,'Bigger Board'!C:C)</f>
        <v>136</v>
      </c>
      <c r="D137" s="7" t="s">
        <v>246</v>
      </c>
      <c r="E137" s="7" t="s">
        <v>53</v>
      </c>
      <c r="F137" s="6" t="s">
        <v>23</v>
      </c>
      <c r="G137" s="6">
        <f>SUMIF('Bigger Board'!D:D,D137,'Bigger Board'!G:G)</f>
        <v>7</v>
      </c>
      <c r="H137" s="8">
        <f>SUMIF('Bigger Board'!D:D,D137,'Bigger Board'!H:H)</f>
        <v>82.9</v>
      </c>
      <c r="I137" s="9">
        <v>165.0</v>
      </c>
      <c r="J137" s="8" t="s">
        <v>41</v>
      </c>
    </row>
    <row r="138">
      <c r="A138" s="6">
        <f>SUMIF('Bigger Board'!D:D,D138,'Bigger Board'!A:A)</f>
        <v>134</v>
      </c>
      <c r="B138" s="6">
        <f>SUMIF('Bigger Board'!D:D,D138,'Bigger Board'!B:B)</f>
        <v>155</v>
      </c>
      <c r="C138" s="6">
        <f>SUMIF('Bigger Board'!D:D,D138,'Bigger Board'!C:C)</f>
        <v>132</v>
      </c>
      <c r="D138" s="7" t="s">
        <v>247</v>
      </c>
      <c r="E138" s="7" t="s">
        <v>59</v>
      </c>
      <c r="F138" s="6" t="s">
        <v>19</v>
      </c>
      <c r="G138" s="6">
        <f>SUMIF('Bigger Board'!D:D,D138,'Bigger Board'!G:G)</f>
        <v>10</v>
      </c>
      <c r="H138" s="8">
        <f>SUMIF('Bigger Board'!D:D,D138,'Bigger Board'!H:H)</f>
        <v>108.7</v>
      </c>
      <c r="I138" s="9">
        <v>166.0</v>
      </c>
      <c r="J138" s="8" t="s">
        <v>65</v>
      </c>
    </row>
    <row r="139">
      <c r="A139" s="6">
        <f>SUMIF('Bigger Board'!D:D,D139,'Bigger Board'!A:A)</f>
        <v>135</v>
      </c>
      <c r="B139" s="6">
        <f>SUMIF('Bigger Board'!D:D,D139,'Bigger Board'!B:B)</f>
        <v>151</v>
      </c>
      <c r="C139" s="6">
        <f>SUMIF('Bigger Board'!D:D,D139,'Bigger Board'!C:C)</f>
        <v>137</v>
      </c>
      <c r="D139" s="7" t="s">
        <v>248</v>
      </c>
      <c r="E139" s="7" t="s">
        <v>153</v>
      </c>
      <c r="F139" s="6" t="s">
        <v>32</v>
      </c>
      <c r="G139" s="6">
        <f>SUMIF('Bigger Board'!D:D,D139,'Bigger Board'!G:G)</f>
        <v>18</v>
      </c>
      <c r="H139" s="8">
        <f>SUMIF('Bigger Board'!D:D,D139,'Bigger Board'!H:H)</f>
        <v>81.1</v>
      </c>
      <c r="I139" s="9">
        <v>238.0</v>
      </c>
      <c r="J139" s="8" t="s">
        <v>71</v>
      </c>
    </row>
    <row r="140">
      <c r="A140" s="6">
        <f>SUMIF('Bigger Board'!D:D,D140,'Bigger Board'!A:A)</f>
        <v>136</v>
      </c>
      <c r="B140" s="6">
        <f>SUMIF('Bigger Board'!D:D,D140,'Bigger Board'!B:B)</f>
        <v>139</v>
      </c>
      <c r="C140" s="6">
        <f>SUMIF('Bigger Board'!D:D,D140,'Bigger Board'!C:C)</f>
        <v>138</v>
      </c>
      <c r="D140" s="7" t="s">
        <v>249</v>
      </c>
      <c r="E140" s="7" t="s">
        <v>250</v>
      </c>
      <c r="F140" s="6" t="s">
        <v>38</v>
      </c>
      <c r="G140" s="6">
        <f>SUMIF('Bigger Board'!D:D,D140,'Bigger Board'!G:G)</f>
        <v>13</v>
      </c>
      <c r="H140" s="8">
        <f>SUMIF('Bigger Board'!D:D,D140,'Bigger Board'!H:H)</f>
        <v>146.2</v>
      </c>
      <c r="I140" s="9">
        <v>117.0</v>
      </c>
      <c r="J140" s="8" t="s">
        <v>78</v>
      </c>
    </row>
    <row r="141">
      <c r="A141" s="6">
        <f>SUMIF('Bigger Board'!D:D,D141,'Bigger Board'!A:A)</f>
        <v>137</v>
      </c>
      <c r="B141" s="6">
        <f>SUMIF('Bigger Board'!D:D,D141,'Bigger Board'!B:B)</f>
        <v>123</v>
      </c>
      <c r="C141" s="6">
        <f>SUMIF('Bigger Board'!D:D,D141,'Bigger Board'!C:C)</f>
        <v>140</v>
      </c>
      <c r="D141" s="7" t="s">
        <v>251</v>
      </c>
      <c r="E141" s="7" t="s">
        <v>150</v>
      </c>
      <c r="F141" s="6" t="s">
        <v>85</v>
      </c>
      <c r="G141" s="6">
        <f>SUMIF('Bigger Board'!D:D,D141,'Bigger Board'!G:G)</f>
        <v>5</v>
      </c>
      <c r="H141" s="8">
        <f>SUMIF('Bigger Board'!D:D,D141,'Bigger Board'!H:H)</f>
        <v>96.9</v>
      </c>
      <c r="I141" s="9">
        <v>250.0</v>
      </c>
      <c r="J141" s="8" t="s">
        <v>55</v>
      </c>
    </row>
    <row r="142">
      <c r="A142" s="6">
        <f>SUMIF('Bigger Board'!D:D,D142,'Bigger Board'!A:A)</f>
        <v>138</v>
      </c>
      <c r="B142" s="6">
        <f>SUMIF('Bigger Board'!D:D,D142,'Bigger Board'!B:B)</f>
        <v>141</v>
      </c>
      <c r="C142" s="6">
        <f>SUMIF('Bigger Board'!D:D,D142,'Bigger Board'!C:C)</f>
        <v>139</v>
      </c>
      <c r="D142" s="7" t="s">
        <v>252</v>
      </c>
      <c r="E142" s="7" t="s">
        <v>175</v>
      </c>
      <c r="F142" s="6" t="s">
        <v>19</v>
      </c>
      <c r="G142" s="6">
        <f>SUMIF('Bigger Board'!D:D,D142,'Bigger Board'!G:G)</f>
        <v>11</v>
      </c>
      <c r="H142" s="8">
        <f>SUMIF('Bigger Board'!D:D,D142,'Bigger Board'!H:H)</f>
        <v>100.5</v>
      </c>
      <c r="I142" s="9">
        <v>126.0</v>
      </c>
      <c r="J142" s="8" t="s">
        <v>94</v>
      </c>
    </row>
    <row r="143">
      <c r="A143" s="6">
        <f>SUMIF('Bigger Board'!D:D,D143,'Bigger Board'!A:A)</f>
        <v>139</v>
      </c>
      <c r="B143" s="6">
        <f>SUMIF('Bigger Board'!D:D,D143,'Bigger Board'!B:B)</f>
        <v>121</v>
      </c>
      <c r="C143" s="6">
        <f>SUMIF('Bigger Board'!D:D,D143,'Bigger Board'!C:C)</f>
        <v>146</v>
      </c>
      <c r="D143" s="7" t="s">
        <v>253</v>
      </c>
      <c r="E143" s="7" t="s">
        <v>43</v>
      </c>
      <c r="F143" s="6" t="s">
        <v>19</v>
      </c>
      <c r="G143" s="6">
        <f>SUMIF('Bigger Board'!D:D,D143,'Bigger Board'!G:G)</f>
        <v>12</v>
      </c>
      <c r="H143" s="8">
        <f>SUMIF('Bigger Board'!D:D,D143,'Bigger Board'!H:H)</f>
        <v>88.8</v>
      </c>
      <c r="I143" s="9">
        <v>215.0</v>
      </c>
      <c r="J143" s="8" t="s">
        <v>76</v>
      </c>
    </row>
    <row r="144">
      <c r="A144" s="6">
        <f>SUMIF('Bigger Board'!D:D,D144,'Bigger Board'!A:A)</f>
        <v>140</v>
      </c>
      <c r="B144" s="6">
        <f>SUMIF('Bigger Board'!D:D,D144,'Bigger Board'!B:B)</f>
        <v>128</v>
      </c>
      <c r="C144" s="6">
        <f>SUMIF('Bigger Board'!D:D,D144,'Bigger Board'!C:C)</f>
        <v>141</v>
      </c>
      <c r="D144" s="7" t="s">
        <v>254</v>
      </c>
      <c r="E144" s="7" t="s">
        <v>53</v>
      </c>
      <c r="F144" s="6" t="s">
        <v>85</v>
      </c>
      <c r="G144" s="6">
        <f>SUMIF('Bigger Board'!D:D,D144,'Bigger Board'!G:G)</f>
        <v>6</v>
      </c>
      <c r="H144" s="8">
        <f>SUMIF('Bigger Board'!D:D,D144,'Bigger Board'!H:H)</f>
        <v>97.8</v>
      </c>
      <c r="I144" s="9">
        <v>181.0</v>
      </c>
      <c r="J144" s="8" t="s">
        <v>94</v>
      </c>
    </row>
    <row r="145">
      <c r="A145" s="6">
        <f>SUMIF('Bigger Board'!D:D,D145,'Bigger Board'!A:A)</f>
        <v>141</v>
      </c>
      <c r="B145" s="6">
        <f>SUMIF('Bigger Board'!D:D,D145,'Bigger Board'!B:B)</f>
        <v>177</v>
      </c>
      <c r="C145" s="6">
        <f>SUMIF('Bigger Board'!D:D,D145,'Bigger Board'!C:C)</f>
        <v>134</v>
      </c>
      <c r="D145" s="7" t="s">
        <v>255</v>
      </c>
      <c r="E145" s="7" t="s">
        <v>87</v>
      </c>
      <c r="F145" s="6" t="s">
        <v>44</v>
      </c>
      <c r="G145" s="6">
        <f>SUMIF('Bigger Board'!D:D,D145,'Bigger Board'!G:G)</f>
        <v>19</v>
      </c>
      <c r="H145" s="8">
        <f>SUMIF('Bigger Board'!D:D,D145,'Bigger Board'!H:H)</f>
        <v>94.6</v>
      </c>
      <c r="I145" s="9">
        <v>139.0</v>
      </c>
      <c r="J145" s="8" t="s">
        <v>173</v>
      </c>
    </row>
    <row r="146">
      <c r="A146" s="6">
        <f>SUMIF('Bigger Board'!D:D,D146,'Bigger Board'!A:A)</f>
        <v>142</v>
      </c>
      <c r="B146" s="6">
        <f>SUMIF('Bigger Board'!D:D,D146,'Bigger Board'!B:B)</f>
        <v>163</v>
      </c>
      <c r="C146" s="6">
        <f>SUMIF('Bigger Board'!D:D,D146,'Bigger Board'!C:C)</f>
        <v>133</v>
      </c>
      <c r="D146" s="7" t="s">
        <v>256</v>
      </c>
      <c r="E146" s="7" t="s">
        <v>133</v>
      </c>
      <c r="F146" s="6" t="s">
        <v>91</v>
      </c>
      <c r="G146" s="6">
        <f>SUMIF('Bigger Board'!D:D,D146,'Bigger Board'!G:G)</f>
        <v>6</v>
      </c>
      <c r="H146" s="8">
        <f>SUMIF('Bigger Board'!D:D,D146,'Bigger Board'!H:H)</f>
        <v>109.1</v>
      </c>
      <c r="I146" s="9"/>
      <c r="J146" s="8"/>
    </row>
    <row r="147">
      <c r="A147" s="6">
        <f>SUMIF('Bigger Board'!D:D,D147,'Bigger Board'!A:A)</f>
        <v>143</v>
      </c>
      <c r="B147" s="6">
        <f>SUMIF('Bigger Board'!D:D,D147,'Bigger Board'!B:B)</f>
        <v>162</v>
      </c>
      <c r="C147" s="6">
        <f>SUMIF('Bigger Board'!D:D,D147,'Bigger Board'!C:C)</f>
        <v>142</v>
      </c>
      <c r="D147" s="7" t="s">
        <v>257</v>
      </c>
      <c r="E147" s="7" t="s">
        <v>62</v>
      </c>
      <c r="F147" s="6" t="s">
        <v>44</v>
      </c>
      <c r="G147" s="6">
        <f>SUMIF('Bigger Board'!D:D,D147,'Bigger Board'!G:G)</f>
        <v>20</v>
      </c>
      <c r="H147" s="8">
        <f>SUMIF('Bigger Board'!D:D,D147,'Bigger Board'!H:H)</f>
        <v>94.6</v>
      </c>
      <c r="I147" s="9">
        <v>109.0</v>
      </c>
      <c r="J147" s="8" t="s">
        <v>45</v>
      </c>
    </row>
    <row r="148">
      <c r="A148" s="6">
        <f>SUMIF('Bigger Board'!D:D,D148,'Bigger Board'!A:A)</f>
        <v>144</v>
      </c>
      <c r="B148" s="6">
        <f>SUMIF('Bigger Board'!D:D,D148,'Bigger Board'!B:B)</f>
        <v>154</v>
      </c>
      <c r="C148" s="6">
        <f>SUMIF('Bigger Board'!D:D,D148,'Bigger Board'!C:C)</f>
        <v>148</v>
      </c>
      <c r="D148" s="7" t="s">
        <v>258</v>
      </c>
      <c r="E148" s="7" t="s">
        <v>259</v>
      </c>
      <c r="F148" s="6" t="s">
        <v>23</v>
      </c>
      <c r="G148" s="6">
        <f>SUMIF('Bigger Board'!D:D,D148,'Bigger Board'!G:G)</f>
        <v>8</v>
      </c>
      <c r="H148" s="8">
        <f>SUMIF('Bigger Board'!D:D,D148,'Bigger Board'!H:H)</f>
        <v>84.7</v>
      </c>
      <c r="I148" s="9">
        <v>198.0</v>
      </c>
      <c r="J148" s="8" t="s">
        <v>108</v>
      </c>
    </row>
    <row r="149">
      <c r="A149" s="6">
        <f>SUMIF('Bigger Board'!D:D,D149,'Bigger Board'!A:A)</f>
        <v>145</v>
      </c>
      <c r="B149" s="6">
        <f>SUMIF('Bigger Board'!D:D,D149,'Bigger Board'!B:B)</f>
        <v>181</v>
      </c>
      <c r="C149" s="6">
        <f>SUMIF('Bigger Board'!D:D,D149,'Bigger Board'!C:C)</f>
        <v>155</v>
      </c>
      <c r="D149" s="7" t="s">
        <v>260</v>
      </c>
      <c r="E149" s="7" t="s">
        <v>128</v>
      </c>
      <c r="F149" s="6" t="s">
        <v>26</v>
      </c>
      <c r="G149" s="6">
        <f>SUMIF('Bigger Board'!D:D,D149,'Bigger Board'!G:G)</f>
        <v>11</v>
      </c>
      <c r="H149" s="8">
        <f>SUMIF('Bigger Board'!D:D,D149,'Bigger Board'!H:H)</f>
        <v>86.1</v>
      </c>
      <c r="I149" s="9">
        <v>158.0</v>
      </c>
      <c r="J149" s="8" t="s">
        <v>71</v>
      </c>
    </row>
    <row r="150">
      <c r="A150" s="6">
        <f>SUMIF('Bigger Board'!D:D,D150,'Bigger Board'!A:A)</f>
        <v>146</v>
      </c>
      <c r="B150" s="6">
        <f>SUMIF('Bigger Board'!D:D,D150,'Bigger Board'!B:B)</f>
        <v>145</v>
      </c>
      <c r="C150" s="6">
        <f>SUMIF('Bigger Board'!D:D,D150,'Bigger Board'!C:C)</f>
        <v>147</v>
      </c>
      <c r="D150" s="7" t="s">
        <v>261</v>
      </c>
      <c r="E150" s="7" t="s">
        <v>153</v>
      </c>
      <c r="F150" s="6" t="s">
        <v>54</v>
      </c>
      <c r="G150" s="6">
        <f>SUMIF('Bigger Board'!D:D,D150,'Bigger Board'!G:G)</f>
        <v>9</v>
      </c>
      <c r="H150" s="8">
        <f>SUMIF('Bigger Board'!D:D,D150,'Bigger Board'!H:H)</f>
        <v>89.7</v>
      </c>
      <c r="I150" s="9">
        <v>148.0</v>
      </c>
      <c r="J150" s="8" t="s">
        <v>135</v>
      </c>
    </row>
    <row r="151">
      <c r="A151" s="6">
        <f>SUMIF('Bigger Board'!D:D,D151,'Bigger Board'!A:A)</f>
        <v>147</v>
      </c>
      <c r="B151" s="6">
        <f>SUMIF('Bigger Board'!D:D,D151,'Bigger Board'!B:B)</f>
        <v>131</v>
      </c>
      <c r="C151" s="6">
        <f>SUMIF('Bigger Board'!D:D,D151,'Bigger Board'!C:C)</f>
        <v>145</v>
      </c>
      <c r="D151" s="7" t="s">
        <v>262</v>
      </c>
      <c r="E151" s="7" t="s">
        <v>62</v>
      </c>
      <c r="F151" s="6" t="s">
        <v>19</v>
      </c>
      <c r="G151" s="6">
        <f>SUMIF('Bigger Board'!D:D,D151,'Bigger Board'!G:G)</f>
        <v>13</v>
      </c>
      <c r="H151" s="8">
        <f>SUMIF('Bigger Board'!D:D,D151,'Bigger Board'!H:H)</f>
        <v>91</v>
      </c>
      <c r="I151" s="9">
        <v>135.0</v>
      </c>
      <c r="J151" s="8" t="s">
        <v>103</v>
      </c>
    </row>
    <row r="152">
      <c r="A152" s="6">
        <f>SUMIF('Bigger Board'!D:D,D152,'Bigger Board'!A:A)</f>
        <v>148</v>
      </c>
      <c r="B152" s="6">
        <f>SUMIF('Bigger Board'!D:D,D152,'Bigger Board'!B:B)</f>
        <v>132</v>
      </c>
      <c r="C152" s="6">
        <f>SUMIF('Bigger Board'!D:D,D152,'Bigger Board'!C:C)</f>
        <v>153</v>
      </c>
      <c r="D152" s="7" t="s">
        <v>263</v>
      </c>
      <c r="E152" s="7" t="s">
        <v>166</v>
      </c>
      <c r="F152" s="6" t="s">
        <v>15</v>
      </c>
      <c r="G152" s="6">
        <f>SUMIF('Bigger Board'!D:D,D152,'Bigger Board'!G:G)</f>
        <v>7</v>
      </c>
      <c r="H152" s="8">
        <f>SUMIF('Bigger Board'!D:D,D152,'Bigger Board'!H:H)</f>
        <v>105</v>
      </c>
      <c r="I152" s="9">
        <v>182.0</v>
      </c>
      <c r="J152" s="8" t="s">
        <v>48</v>
      </c>
    </row>
    <row r="153">
      <c r="A153" s="6">
        <f>SUMIF('Bigger Board'!D:D,D153,'Bigger Board'!A:A)</f>
        <v>149</v>
      </c>
      <c r="B153" s="6">
        <f>SUMIF('Bigger Board'!D:D,D153,'Bigger Board'!B:B)</f>
        <v>165</v>
      </c>
      <c r="C153" s="6">
        <f>SUMIF('Bigger Board'!D:D,D153,'Bigger Board'!C:C)</f>
        <v>157</v>
      </c>
      <c r="D153" s="7" t="s">
        <v>264</v>
      </c>
      <c r="E153" s="7" t="s">
        <v>14</v>
      </c>
      <c r="F153" s="6" t="s">
        <v>19</v>
      </c>
      <c r="G153" s="6">
        <f>SUMIF('Bigger Board'!D:D,D153,'Bigger Board'!G:G)</f>
        <v>14</v>
      </c>
      <c r="H153" s="8">
        <f>SUMIF('Bigger Board'!D:D,D153,'Bigger Board'!H:H)</f>
        <v>90.6</v>
      </c>
      <c r="I153" s="9">
        <v>243.0</v>
      </c>
      <c r="J153" s="8" t="s">
        <v>92</v>
      </c>
    </row>
    <row r="154">
      <c r="A154" s="6">
        <f>SUMIF('Bigger Board'!D:D,D154,'Bigger Board'!A:A)</f>
        <v>150</v>
      </c>
      <c r="B154" s="6">
        <f>SUMIF('Bigger Board'!D:D,D154,'Bigger Board'!B:B)</f>
        <v>169</v>
      </c>
      <c r="C154" s="6">
        <f>SUMIF('Bigger Board'!D:D,D154,'Bigger Board'!C:C)</f>
        <v>165</v>
      </c>
      <c r="D154" s="7" t="s">
        <v>265</v>
      </c>
      <c r="E154" s="7" t="s">
        <v>80</v>
      </c>
      <c r="F154" s="6" t="s">
        <v>85</v>
      </c>
      <c r="G154" s="6">
        <f>SUMIF('Bigger Board'!D:D,D154,'Bigger Board'!G:G)</f>
        <v>7</v>
      </c>
      <c r="H154" s="8">
        <f>SUMIF('Bigger Board'!D:D,D154,'Bigger Board'!H:H)</f>
        <v>88.8</v>
      </c>
      <c r="I154" s="9">
        <v>81.0</v>
      </c>
      <c r="J154" s="8" t="s">
        <v>115</v>
      </c>
    </row>
    <row r="155">
      <c r="A155" s="6">
        <f>SUMIF('Bigger Board'!D:D,D155,'Bigger Board'!A:A)</f>
        <v>151</v>
      </c>
      <c r="B155" s="6">
        <f>SUMIF('Bigger Board'!D:D,D155,'Bigger Board'!B:B)</f>
        <v>160</v>
      </c>
      <c r="C155" s="6">
        <f>SUMIF('Bigger Board'!D:D,D155,'Bigger Board'!C:C)</f>
        <v>149</v>
      </c>
      <c r="D155" s="7" t="s">
        <v>266</v>
      </c>
      <c r="E155" s="7" t="s">
        <v>267</v>
      </c>
      <c r="F155" s="6" t="s">
        <v>44</v>
      </c>
      <c r="G155" s="6">
        <f>SUMIF('Bigger Board'!D:D,D155,'Bigger Board'!G:G)</f>
        <v>21</v>
      </c>
      <c r="H155" s="8">
        <f>SUMIF('Bigger Board'!D:D,D155,'Bigger Board'!H:H)</f>
        <v>89.2</v>
      </c>
      <c r="I155" s="9">
        <v>163.0</v>
      </c>
      <c r="J155" s="8" t="s">
        <v>108</v>
      </c>
    </row>
    <row r="156">
      <c r="A156" s="6">
        <f>SUMIF('Bigger Board'!D:D,D156,'Bigger Board'!A:A)</f>
        <v>152</v>
      </c>
      <c r="B156" s="6">
        <f>SUMIF('Bigger Board'!D:D,D156,'Bigger Board'!B:B)</f>
        <v>150</v>
      </c>
      <c r="C156" s="6">
        <f>SUMIF('Bigger Board'!D:D,D156,'Bigger Board'!C:C)</f>
        <v>151</v>
      </c>
      <c r="D156" s="7" t="s">
        <v>268</v>
      </c>
      <c r="E156" s="7" t="s">
        <v>112</v>
      </c>
      <c r="F156" s="6" t="s">
        <v>40</v>
      </c>
      <c r="G156" s="6">
        <f>SUMIF('Bigger Board'!D:D,D156,'Bigger Board'!G:G)</f>
        <v>21</v>
      </c>
      <c r="H156" s="8">
        <f>SUMIF('Bigger Board'!D:D,D156,'Bigger Board'!H:H)</f>
        <v>82.9</v>
      </c>
      <c r="I156" s="9">
        <v>177.0</v>
      </c>
      <c r="J156" s="8" t="s">
        <v>71</v>
      </c>
    </row>
    <row r="157">
      <c r="A157" s="6">
        <f>SUMIF('Bigger Board'!D:D,D157,'Bigger Board'!A:A)</f>
        <v>153</v>
      </c>
      <c r="B157" s="6">
        <f>SUMIF('Bigger Board'!D:D,D157,'Bigger Board'!B:B)</f>
        <v>189</v>
      </c>
      <c r="C157" s="6">
        <f>SUMIF('Bigger Board'!D:D,D157,'Bigger Board'!C:C)</f>
        <v>152</v>
      </c>
      <c r="D157" s="7" t="s">
        <v>269</v>
      </c>
      <c r="E157" s="7" t="s">
        <v>270</v>
      </c>
      <c r="F157" s="6" t="s">
        <v>63</v>
      </c>
      <c r="G157" s="6">
        <f>SUMIF('Bigger Board'!D:D,D157,'Bigger Board'!G:G)</f>
        <v>10</v>
      </c>
      <c r="H157" s="8">
        <f>SUMIF('Bigger Board'!D:D,D157,'Bigger Board'!H:H)</f>
        <v>94.2</v>
      </c>
      <c r="I157" s="9">
        <v>164.0</v>
      </c>
      <c r="J157" s="8" t="s">
        <v>115</v>
      </c>
    </row>
    <row r="158">
      <c r="A158" s="6">
        <f>SUMIF('Bigger Board'!D:D,D158,'Bigger Board'!A:A)</f>
        <v>154</v>
      </c>
      <c r="B158" s="6">
        <f>SUMIF('Bigger Board'!D:D,D158,'Bigger Board'!B:B)</f>
        <v>187</v>
      </c>
      <c r="C158" s="6">
        <f>SUMIF('Bigger Board'!D:D,D158,'Bigger Board'!C:C)</f>
        <v>150</v>
      </c>
      <c r="D158" s="7" t="s">
        <v>271</v>
      </c>
      <c r="E158" s="7" t="s">
        <v>130</v>
      </c>
      <c r="F158" s="6" t="s">
        <v>38</v>
      </c>
      <c r="G158" s="6">
        <f>SUMIF('Bigger Board'!D:D,D158,'Bigger Board'!G:G)</f>
        <v>14</v>
      </c>
      <c r="H158" s="8">
        <f>SUMIF('Bigger Board'!D:D,D158,'Bigger Board'!H:H)</f>
        <v>90.6</v>
      </c>
      <c r="I158" s="9">
        <v>192.0</v>
      </c>
      <c r="J158" s="8" t="s">
        <v>20</v>
      </c>
    </row>
    <row r="159">
      <c r="A159" s="6">
        <f>SUMIF('Bigger Board'!D:D,D159,'Bigger Board'!A:A)</f>
        <v>155</v>
      </c>
      <c r="B159" s="6">
        <f>SUMIF('Bigger Board'!D:D,D159,'Bigger Board'!B:B)</f>
        <v>138</v>
      </c>
      <c r="C159" s="6">
        <f>SUMIF('Bigger Board'!D:D,D159,'Bigger Board'!C:C)</f>
        <v>156</v>
      </c>
      <c r="D159" s="7" t="s">
        <v>272</v>
      </c>
      <c r="E159" s="7" t="s">
        <v>202</v>
      </c>
      <c r="F159" s="6" t="s">
        <v>91</v>
      </c>
      <c r="G159" s="6">
        <f>SUMIF('Bigger Board'!D:D,D159,'Bigger Board'!G:G)</f>
        <v>7</v>
      </c>
      <c r="H159" s="8">
        <f>SUMIF('Bigger Board'!D:D,D159,'Bigger Board'!H:H)</f>
        <v>99.6</v>
      </c>
      <c r="I159" s="9"/>
      <c r="J159" s="8"/>
    </row>
    <row r="160">
      <c r="A160" s="6">
        <f>SUMIF('Bigger Board'!D:D,D160,'Bigger Board'!A:A)</f>
        <v>156</v>
      </c>
      <c r="B160" s="6">
        <f>SUMIF('Bigger Board'!D:D,D160,'Bigger Board'!B:B)</f>
        <v>143</v>
      </c>
      <c r="C160" s="6">
        <f>SUMIF('Bigger Board'!D:D,D160,'Bigger Board'!C:C)</f>
        <v>163</v>
      </c>
      <c r="D160" s="7" t="s">
        <v>273</v>
      </c>
      <c r="E160" s="7" t="s">
        <v>53</v>
      </c>
      <c r="F160" s="6" t="s">
        <v>38</v>
      </c>
      <c r="G160" s="6">
        <f>SUMIF('Bigger Board'!D:D,D160,'Bigger Board'!G:G)</f>
        <v>15</v>
      </c>
      <c r="H160" s="8">
        <f>SUMIF('Bigger Board'!D:D,D160,'Bigger Board'!H:H)</f>
        <v>88.3</v>
      </c>
      <c r="I160" s="9">
        <v>112.0</v>
      </c>
      <c r="J160" s="8" t="s">
        <v>27</v>
      </c>
    </row>
    <row r="161">
      <c r="A161" s="6">
        <f>SUMIF('Bigger Board'!D:D,D161,'Bigger Board'!A:A)</f>
        <v>157</v>
      </c>
      <c r="B161" s="6">
        <f>SUMIF('Bigger Board'!D:D,D161,'Bigger Board'!B:B)</f>
        <v>157</v>
      </c>
      <c r="C161" s="6">
        <f>SUMIF('Bigger Board'!D:D,D161,'Bigger Board'!C:C)</f>
        <v>158</v>
      </c>
      <c r="D161" s="7" t="s">
        <v>274</v>
      </c>
      <c r="E161" s="7" t="s">
        <v>62</v>
      </c>
      <c r="F161" s="6" t="s">
        <v>38</v>
      </c>
      <c r="G161" s="6">
        <f>SUMIF('Bigger Board'!D:D,D161,'Bigger Board'!G:G)</f>
        <v>16</v>
      </c>
      <c r="H161" s="8">
        <f>SUMIF('Bigger Board'!D:D,D161,'Bigger Board'!H:H)</f>
        <v>105</v>
      </c>
      <c r="I161" s="9"/>
      <c r="J161" s="8"/>
    </row>
    <row r="162">
      <c r="A162" s="6">
        <f>SUMIF('Bigger Board'!D:D,D162,'Bigger Board'!A:A)</f>
        <v>158</v>
      </c>
      <c r="B162" s="6">
        <f>SUMIF('Bigger Board'!D:D,D162,'Bigger Board'!B:B)</f>
        <v>168</v>
      </c>
      <c r="C162" s="6">
        <f>SUMIF('Bigger Board'!D:D,D162,'Bigger Board'!C:C)</f>
        <v>171</v>
      </c>
      <c r="D162" s="7" t="s">
        <v>275</v>
      </c>
      <c r="E162" s="7" t="s">
        <v>150</v>
      </c>
      <c r="F162" s="6" t="s">
        <v>63</v>
      </c>
      <c r="G162" s="6">
        <f>SUMIF('Bigger Board'!D:D,D162,'Bigger Board'!G:G)</f>
        <v>11</v>
      </c>
      <c r="H162" s="8">
        <f>SUMIF('Bigger Board'!D:D,D162,'Bigger Board'!H:H)</f>
        <v>94.6</v>
      </c>
      <c r="I162" s="9">
        <v>59.0</v>
      </c>
      <c r="J162" s="8" t="s">
        <v>92</v>
      </c>
    </row>
    <row r="163">
      <c r="A163" s="6">
        <f>SUMIF('Bigger Board'!D:D,D163,'Bigger Board'!A:A)</f>
        <v>159</v>
      </c>
      <c r="B163" s="6">
        <f>SUMIF('Bigger Board'!D:D,D163,'Bigger Board'!B:B)</f>
        <v>133</v>
      </c>
      <c r="C163" s="6">
        <f>SUMIF('Bigger Board'!D:D,D163,'Bigger Board'!C:C)</f>
        <v>160</v>
      </c>
      <c r="D163" s="7" t="s">
        <v>276</v>
      </c>
      <c r="E163" s="7" t="s">
        <v>227</v>
      </c>
      <c r="F163" s="6" t="s">
        <v>40</v>
      </c>
      <c r="G163" s="6">
        <f>SUMIF('Bigger Board'!D:D,D163,'Bigger Board'!G:G)</f>
        <v>22</v>
      </c>
      <c r="H163" s="8">
        <f>SUMIF('Bigger Board'!D:D,D163,'Bigger Board'!H:H)</f>
        <v>96.9</v>
      </c>
      <c r="I163" s="9">
        <v>191.0</v>
      </c>
      <c r="J163" s="8" t="s">
        <v>115</v>
      </c>
    </row>
    <row r="164">
      <c r="A164" s="6">
        <f>SUMIF('Bigger Board'!D:D,D164,'Bigger Board'!A:A)</f>
        <v>160</v>
      </c>
      <c r="B164" s="6">
        <f>SUMIF('Bigger Board'!D:D,D164,'Bigger Board'!B:B)</f>
        <v>208</v>
      </c>
      <c r="C164" s="6">
        <f>SUMIF('Bigger Board'!D:D,D164,'Bigger Board'!C:C)</f>
        <v>143</v>
      </c>
      <c r="D164" s="7" t="s">
        <v>277</v>
      </c>
      <c r="E164" s="7" t="s">
        <v>50</v>
      </c>
      <c r="F164" s="6" t="s">
        <v>32</v>
      </c>
      <c r="G164" s="6">
        <f>SUMIF('Bigger Board'!D:D,D164,'Bigger Board'!G:G)</f>
        <v>19</v>
      </c>
      <c r="H164" s="8">
        <f>SUMIF('Bigger Board'!D:D,D164,'Bigger Board'!H:H)</f>
        <v>107.3</v>
      </c>
      <c r="I164" s="9"/>
      <c r="J164" s="8"/>
    </row>
    <row r="165">
      <c r="A165" s="6">
        <f>SUMIF('Bigger Board'!D:D,D165,'Bigger Board'!A:A)</f>
        <v>161</v>
      </c>
      <c r="B165" s="6">
        <f>SUMIF('Bigger Board'!D:D,D165,'Bigger Board'!B:B)</f>
        <v>161</v>
      </c>
      <c r="C165" s="6">
        <f>SUMIF('Bigger Board'!D:D,D165,'Bigger Board'!C:C)</f>
        <v>167</v>
      </c>
      <c r="D165" s="7" t="s">
        <v>278</v>
      </c>
      <c r="E165" s="7" t="s">
        <v>18</v>
      </c>
      <c r="F165" s="6" t="s">
        <v>32</v>
      </c>
      <c r="G165" s="6">
        <f>SUMIF('Bigger Board'!D:D,D165,'Bigger Board'!G:G)</f>
        <v>20</v>
      </c>
      <c r="H165" s="8">
        <f>SUMIF('Bigger Board'!D:D,D165,'Bigger Board'!H:H)</f>
        <v>91.9</v>
      </c>
      <c r="I165" s="9">
        <v>214.0</v>
      </c>
      <c r="J165" s="8" t="s">
        <v>103</v>
      </c>
    </row>
    <row r="166">
      <c r="A166" s="6">
        <f>SUMIF('Bigger Board'!D:D,D166,'Bigger Board'!A:A)</f>
        <v>162</v>
      </c>
      <c r="B166" s="6">
        <f>SUMIF('Bigger Board'!D:D,D166,'Bigger Board'!B:B)</f>
        <v>180</v>
      </c>
      <c r="C166" s="6">
        <f>SUMIF('Bigger Board'!D:D,D166,'Bigger Board'!C:C)</f>
        <v>144</v>
      </c>
      <c r="D166" s="7" t="s">
        <v>279</v>
      </c>
      <c r="E166" s="7" t="s">
        <v>80</v>
      </c>
      <c r="F166" s="6" t="s">
        <v>19</v>
      </c>
      <c r="G166" s="6">
        <f>SUMIF('Bigger Board'!D:D,D166,'Bigger Board'!G:G)</f>
        <v>15</v>
      </c>
      <c r="H166" s="8">
        <f>SUMIF('Bigger Board'!D:D,D166,'Bigger Board'!H:H)</f>
        <v>102.3</v>
      </c>
      <c r="I166" s="9"/>
      <c r="J166" s="8"/>
    </row>
    <row r="167">
      <c r="A167" s="6">
        <f>SUMIF('Bigger Board'!D:D,D167,'Bigger Board'!A:A)</f>
        <v>163</v>
      </c>
      <c r="B167" s="6">
        <f>SUMIF('Bigger Board'!D:D,D167,'Bigger Board'!B:B)</f>
        <v>153</v>
      </c>
      <c r="C167" s="6">
        <f>SUMIF('Bigger Board'!D:D,D167,'Bigger Board'!C:C)</f>
        <v>173</v>
      </c>
      <c r="D167" s="7" t="s">
        <v>280</v>
      </c>
      <c r="E167" s="7" t="s">
        <v>80</v>
      </c>
      <c r="F167" s="6" t="s">
        <v>63</v>
      </c>
      <c r="G167" s="6">
        <f>SUMIF('Bigger Board'!D:D,D167,'Bigger Board'!G:G)</f>
        <v>12</v>
      </c>
      <c r="H167" s="8">
        <f>SUMIF('Bigger Board'!D:D,D167,'Bigger Board'!H:H)</f>
        <v>87.9</v>
      </c>
      <c r="I167" s="9">
        <v>56.0</v>
      </c>
      <c r="J167" s="8" t="s">
        <v>115</v>
      </c>
    </row>
    <row r="168">
      <c r="A168" s="6">
        <f>SUMIF('Bigger Board'!D:D,D168,'Bigger Board'!A:A)</f>
        <v>164</v>
      </c>
      <c r="B168" s="6">
        <f>SUMIF('Bigger Board'!D:D,D168,'Bigger Board'!B:B)</f>
        <v>130</v>
      </c>
      <c r="C168" s="6">
        <f>SUMIF('Bigger Board'!D:D,D168,'Bigger Board'!C:C)</f>
        <v>166</v>
      </c>
      <c r="D168" s="7" t="s">
        <v>281</v>
      </c>
      <c r="E168" s="7" t="s">
        <v>112</v>
      </c>
      <c r="F168" s="6" t="s">
        <v>54</v>
      </c>
      <c r="G168" s="6">
        <f>SUMIF('Bigger Board'!D:D,D168,'Bigger Board'!G:G)</f>
        <v>10</v>
      </c>
      <c r="H168" s="8">
        <f>SUMIF('Bigger Board'!D:D,D168,'Bigger Board'!H:H)</f>
        <v>95.1</v>
      </c>
      <c r="I168" s="9">
        <v>93.0</v>
      </c>
      <c r="J168" s="8" t="s">
        <v>110</v>
      </c>
    </row>
    <row r="169">
      <c r="A169" s="6">
        <f>SUMIF('Bigger Board'!D:D,D169,'Bigger Board'!A:A)</f>
        <v>165</v>
      </c>
      <c r="B169" s="6">
        <f>SUMIF('Bigger Board'!D:D,D169,'Bigger Board'!B:B)</f>
        <v>188</v>
      </c>
      <c r="C169" s="6">
        <f>SUMIF('Bigger Board'!D:D,D169,'Bigger Board'!C:C)</f>
        <v>159</v>
      </c>
      <c r="D169" s="7" t="s">
        <v>282</v>
      </c>
      <c r="E169" s="7" t="s">
        <v>70</v>
      </c>
      <c r="F169" s="6" t="s">
        <v>91</v>
      </c>
      <c r="G169" s="6">
        <f>SUMIF('Bigger Board'!D:D,D169,'Bigger Board'!G:G)</f>
        <v>8</v>
      </c>
      <c r="H169" s="8">
        <f>SUMIF('Bigger Board'!D:D,D169,'Bigger Board'!H:H)</f>
        <v>93.3</v>
      </c>
      <c r="I169" s="9">
        <v>232.0</v>
      </c>
      <c r="J169" s="8" t="s">
        <v>110</v>
      </c>
    </row>
    <row r="170">
      <c r="A170" s="6">
        <f>SUMIF('Bigger Board'!D:D,D170,'Bigger Board'!A:A)</f>
        <v>166</v>
      </c>
      <c r="B170" s="6">
        <f>SUMIF('Bigger Board'!D:D,D170,'Bigger Board'!B:B)</f>
        <v>167</v>
      </c>
      <c r="C170" s="6">
        <f>SUMIF('Bigger Board'!D:D,D170,'Bigger Board'!C:C)</f>
        <v>162</v>
      </c>
      <c r="D170" s="7" t="s">
        <v>283</v>
      </c>
      <c r="E170" s="7" t="s">
        <v>284</v>
      </c>
      <c r="F170" s="6" t="s">
        <v>44</v>
      </c>
      <c r="G170" s="6">
        <f>SUMIF('Bigger Board'!D:D,D170,'Bigger Board'!G:G)</f>
        <v>22</v>
      </c>
      <c r="H170" s="8">
        <f>SUMIF('Bigger Board'!D:D,D170,'Bigger Board'!H:H)</f>
        <v>92.8</v>
      </c>
      <c r="I170" s="9">
        <v>175.0</v>
      </c>
      <c r="J170" s="8" t="s">
        <v>16</v>
      </c>
    </row>
    <row r="171">
      <c r="A171" s="6">
        <f>SUMIF('Bigger Board'!D:D,D171,'Bigger Board'!A:A)</f>
        <v>167</v>
      </c>
      <c r="B171" s="6">
        <f>SUMIF('Bigger Board'!D:D,D171,'Bigger Board'!B:B)</f>
        <v>136</v>
      </c>
      <c r="C171" s="6">
        <f>SUMIF('Bigger Board'!D:D,D171,'Bigger Board'!C:C)</f>
        <v>177</v>
      </c>
      <c r="D171" s="7" t="s">
        <v>285</v>
      </c>
      <c r="E171" s="7" t="s">
        <v>150</v>
      </c>
      <c r="F171" s="6" t="s">
        <v>19</v>
      </c>
      <c r="G171" s="6">
        <f>SUMIF('Bigger Board'!D:D,D171,'Bigger Board'!G:G)</f>
        <v>16</v>
      </c>
      <c r="H171" s="8">
        <f>SUMIF('Bigger Board'!D:D,D171,'Bigger Board'!H:H)</f>
        <v>111.8</v>
      </c>
      <c r="I171" s="9">
        <v>118.0</v>
      </c>
      <c r="J171" s="8" t="s">
        <v>96</v>
      </c>
    </row>
    <row r="172">
      <c r="A172" s="6">
        <f>SUMIF('Bigger Board'!D:D,D172,'Bigger Board'!A:A)</f>
        <v>168</v>
      </c>
      <c r="B172" s="6">
        <f>SUMIF('Bigger Board'!D:D,D172,'Bigger Board'!B:B)</f>
        <v>196</v>
      </c>
      <c r="C172" s="6">
        <f>SUMIF('Bigger Board'!D:D,D172,'Bigger Board'!C:C)</f>
        <v>161</v>
      </c>
      <c r="D172" s="7" t="s">
        <v>286</v>
      </c>
      <c r="E172" s="7" t="s">
        <v>287</v>
      </c>
      <c r="F172" s="6" t="s">
        <v>170</v>
      </c>
      <c r="G172" s="6">
        <f>SUMIF('Bigger Board'!D:D,D172,'Bigger Board'!G:G)</f>
        <v>7</v>
      </c>
      <c r="H172" s="8">
        <f>SUMIF('Bigger Board'!D:D,D172,'Bigger Board'!H:H)</f>
        <v>91.9</v>
      </c>
      <c r="I172" s="9">
        <v>209.0</v>
      </c>
      <c r="J172" s="8" t="s">
        <v>29</v>
      </c>
    </row>
    <row r="173">
      <c r="A173" s="6">
        <f>SUMIF('Bigger Board'!D:D,D173,'Bigger Board'!A:A)</f>
        <v>169</v>
      </c>
      <c r="B173" s="6">
        <f>SUMIF('Bigger Board'!D:D,D173,'Bigger Board'!B:B)</f>
        <v>156</v>
      </c>
      <c r="C173" s="6">
        <f>SUMIF('Bigger Board'!D:D,D173,'Bigger Board'!C:C)</f>
        <v>154</v>
      </c>
      <c r="D173" s="7" t="s">
        <v>288</v>
      </c>
      <c r="E173" s="7" t="s">
        <v>133</v>
      </c>
      <c r="F173" s="6" t="s">
        <v>63</v>
      </c>
      <c r="G173" s="6">
        <f>SUMIF('Bigger Board'!D:D,D173,'Bigger Board'!G:G)</f>
        <v>13</v>
      </c>
      <c r="H173" s="8">
        <f>SUMIF('Bigger Board'!D:D,D173,'Bigger Board'!H:H)</f>
        <v>93.3</v>
      </c>
      <c r="I173" s="9">
        <v>170.0</v>
      </c>
      <c r="J173" s="8" t="s">
        <v>48</v>
      </c>
    </row>
    <row r="174">
      <c r="A174" s="6">
        <f>SUMIF('Bigger Board'!D:D,D174,'Bigger Board'!A:A)</f>
        <v>170</v>
      </c>
      <c r="B174" s="6">
        <f>SUMIF('Bigger Board'!D:D,D174,'Bigger Board'!B:B)</f>
        <v>166</v>
      </c>
      <c r="C174" s="6">
        <f>SUMIF('Bigger Board'!D:D,D174,'Bigger Board'!C:C)</f>
        <v>170</v>
      </c>
      <c r="D174" s="7" t="s">
        <v>289</v>
      </c>
      <c r="E174" s="7" t="s">
        <v>75</v>
      </c>
      <c r="F174" s="6" t="s">
        <v>85</v>
      </c>
      <c r="G174" s="6">
        <f>SUMIF('Bigger Board'!D:D,D174,'Bigger Board'!G:G)</f>
        <v>8</v>
      </c>
      <c r="H174" s="8">
        <f>SUMIF('Bigger Board'!D:D,D174,'Bigger Board'!H:H)</f>
        <v>89.6</v>
      </c>
      <c r="I174" s="9">
        <v>155.0</v>
      </c>
      <c r="J174" s="8" t="s">
        <v>33</v>
      </c>
    </row>
    <row r="175">
      <c r="A175" s="6">
        <f>SUMIF('Bigger Board'!D:D,D175,'Bigger Board'!A:A)</f>
        <v>171</v>
      </c>
      <c r="B175" s="6">
        <f>SUMIF('Bigger Board'!D:D,D175,'Bigger Board'!B:B)</f>
        <v>178</v>
      </c>
      <c r="C175" s="6">
        <f>SUMIF('Bigger Board'!D:D,D175,'Bigger Board'!C:C)</f>
        <v>169</v>
      </c>
      <c r="D175" s="7" t="s">
        <v>290</v>
      </c>
      <c r="E175" s="7" t="s">
        <v>75</v>
      </c>
      <c r="F175" s="6" t="s">
        <v>15</v>
      </c>
      <c r="G175" s="6">
        <f>SUMIF('Bigger Board'!D:D,D175,'Bigger Board'!G:G)</f>
        <v>8</v>
      </c>
      <c r="H175" s="8">
        <f>SUMIF('Bigger Board'!D:D,D175,'Bigger Board'!H:H)</f>
        <v>96.9</v>
      </c>
      <c r="I175" s="9">
        <v>110.0</v>
      </c>
      <c r="J175" s="8" t="s">
        <v>36</v>
      </c>
    </row>
    <row r="176">
      <c r="A176" s="6">
        <f>SUMIF('Bigger Board'!D:D,D176,'Bigger Board'!A:A)</f>
        <v>172</v>
      </c>
      <c r="B176" s="6">
        <f>SUMIF('Bigger Board'!D:D,D176,'Bigger Board'!B:B)</f>
        <v>183</v>
      </c>
      <c r="C176" s="6">
        <f>SUMIF('Bigger Board'!D:D,D176,'Bigger Board'!C:C)</f>
        <v>168</v>
      </c>
      <c r="D176" s="7" t="s">
        <v>291</v>
      </c>
      <c r="E176" s="7" t="s">
        <v>70</v>
      </c>
      <c r="F176" s="6" t="s">
        <v>170</v>
      </c>
      <c r="G176" s="6">
        <f>SUMIF('Bigger Board'!D:D,D176,'Bigger Board'!G:G)</f>
        <v>8</v>
      </c>
      <c r="H176" s="8">
        <f>SUMIF('Bigger Board'!D:D,D176,'Bigger Board'!H:H)</f>
        <v>100.5</v>
      </c>
      <c r="I176" s="9">
        <v>146.0</v>
      </c>
      <c r="J176" s="8" t="s">
        <v>48</v>
      </c>
    </row>
    <row r="177">
      <c r="A177" s="6">
        <f>SUMIF('Bigger Board'!D:D,D177,'Bigger Board'!A:A)</f>
        <v>173</v>
      </c>
      <c r="B177" s="6">
        <f>SUMIF('Bigger Board'!D:D,D177,'Bigger Board'!B:B)</f>
        <v>200</v>
      </c>
      <c r="C177" s="6">
        <f>SUMIF('Bigger Board'!D:D,D177,'Bigger Board'!C:C)</f>
        <v>164</v>
      </c>
      <c r="D177" s="7" t="s">
        <v>292</v>
      </c>
      <c r="E177" s="7" t="s">
        <v>47</v>
      </c>
      <c r="F177" s="6" t="s">
        <v>63</v>
      </c>
      <c r="G177" s="6">
        <f>SUMIF('Bigger Board'!D:D,D177,'Bigger Board'!G:G)</f>
        <v>14</v>
      </c>
      <c r="H177" s="8">
        <f>SUMIF('Bigger Board'!D:D,D177,'Bigger Board'!H:H)</f>
        <v>79.7</v>
      </c>
      <c r="I177" s="9">
        <v>256.0</v>
      </c>
      <c r="J177" s="8" t="s">
        <v>195</v>
      </c>
    </row>
    <row r="178">
      <c r="A178" s="6">
        <f>SUMIF('Bigger Board'!D:D,D178,'Bigger Board'!A:A)</f>
        <v>174</v>
      </c>
      <c r="B178" s="6">
        <f>SUMIF('Bigger Board'!D:D,D178,'Bigger Board'!B:B)</f>
        <v>176</v>
      </c>
      <c r="C178" s="6">
        <f>SUMIF('Bigger Board'!D:D,D178,'Bigger Board'!C:C)</f>
        <v>178</v>
      </c>
      <c r="D178" s="7" t="s">
        <v>293</v>
      </c>
      <c r="E178" s="7" t="s">
        <v>119</v>
      </c>
      <c r="F178" s="6" t="s">
        <v>85</v>
      </c>
      <c r="G178" s="6">
        <f>SUMIF('Bigger Board'!D:D,D178,'Bigger Board'!G:G)</f>
        <v>9</v>
      </c>
      <c r="H178" s="8">
        <f>SUMIF('Bigger Board'!D:D,D178,'Bigger Board'!H:H)</f>
        <v>105.9</v>
      </c>
      <c r="I178" s="9">
        <v>145.0</v>
      </c>
      <c r="J178" s="8" t="s">
        <v>78</v>
      </c>
    </row>
    <row r="179">
      <c r="A179" s="6">
        <f>SUMIF('Bigger Board'!D:D,D179,'Bigger Board'!A:A)</f>
        <v>175</v>
      </c>
      <c r="B179" s="6">
        <f>SUMIF('Bigger Board'!D:D,D179,'Bigger Board'!B:B)</f>
        <v>190</v>
      </c>
      <c r="C179" s="6">
        <f>SUMIF('Bigger Board'!D:D,D179,'Bigger Board'!C:C)</f>
        <v>176</v>
      </c>
      <c r="D179" s="7" t="s">
        <v>294</v>
      </c>
      <c r="E179" s="7" t="s">
        <v>202</v>
      </c>
      <c r="F179" s="6" t="s">
        <v>38</v>
      </c>
      <c r="G179" s="6">
        <f>SUMIF('Bigger Board'!D:D,D179,'Bigger Board'!G:G)</f>
        <v>17</v>
      </c>
      <c r="H179" s="8">
        <f>SUMIF('Bigger Board'!D:D,D179,'Bigger Board'!H:H)</f>
        <v>103.7</v>
      </c>
      <c r="I179" s="9"/>
      <c r="J179" s="8"/>
    </row>
    <row r="180">
      <c r="A180" s="6">
        <f>SUMIF('Bigger Board'!D:D,D180,'Bigger Board'!A:A)</f>
        <v>176</v>
      </c>
      <c r="B180" s="6">
        <f>SUMIF('Bigger Board'!D:D,D180,'Bigger Board'!B:B)</f>
        <v>206</v>
      </c>
      <c r="C180" s="6">
        <f>SUMIF('Bigger Board'!D:D,D180,'Bigger Board'!C:C)</f>
        <v>175</v>
      </c>
      <c r="D180" s="7" t="s">
        <v>295</v>
      </c>
      <c r="E180" s="7" t="s">
        <v>212</v>
      </c>
      <c r="F180" s="6" t="s">
        <v>170</v>
      </c>
      <c r="G180" s="6">
        <f>SUMIF('Bigger Board'!D:D,D180,'Bigger Board'!G:G)</f>
        <v>9</v>
      </c>
      <c r="H180" s="8">
        <f>SUMIF('Bigger Board'!D:D,D180,'Bigger Board'!H:H)</f>
        <v>99.2</v>
      </c>
      <c r="I180" s="9">
        <v>153.0</v>
      </c>
      <c r="J180" s="8" t="s">
        <v>120</v>
      </c>
    </row>
    <row r="181">
      <c r="A181" s="6">
        <f>SUMIF('Bigger Board'!D:D,D181,'Bigger Board'!A:A)</f>
        <v>177</v>
      </c>
      <c r="B181" s="6">
        <f>SUMIF('Bigger Board'!D:D,D181,'Bigger Board'!B:B)</f>
        <v>152</v>
      </c>
      <c r="C181" s="6">
        <f>SUMIF('Bigger Board'!D:D,D181,'Bigger Board'!C:C)</f>
        <v>184</v>
      </c>
      <c r="D181" s="7" t="s">
        <v>296</v>
      </c>
      <c r="E181" s="7" t="s">
        <v>31</v>
      </c>
      <c r="F181" s="6" t="s">
        <v>26</v>
      </c>
      <c r="G181" s="6">
        <f>SUMIF('Bigger Board'!D:D,D181,'Bigger Board'!G:G)</f>
        <v>12</v>
      </c>
      <c r="H181" s="8">
        <f>SUMIF('Bigger Board'!D:D,D181,'Bigger Board'!H:H)</f>
        <v>106.8</v>
      </c>
      <c r="I181" s="9">
        <v>98.0</v>
      </c>
      <c r="J181" s="8" t="s">
        <v>108</v>
      </c>
    </row>
    <row r="182">
      <c r="A182" s="6">
        <f>SUMIF('Bigger Board'!D:D,D182,'Bigger Board'!A:A)</f>
        <v>178</v>
      </c>
      <c r="B182" s="6">
        <f>SUMIF('Bigger Board'!D:D,D182,'Bigger Board'!B:B)</f>
        <v>174</v>
      </c>
      <c r="C182" s="6">
        <f>SUMIF('Bigger Board'!D:D,D182,'Bigger Board'!C:C)</f>
        <v>181</v>
      </c>
      <c r="D182" s="7" t="s">
        <v>297</v>
      </c>
      <c r="E182" s="7" t="s">
        <v>35</v>
      </c>
      <c r="F182" s="6" t="s">
        <v>40</v>
      </c>
      <c r="G182" s="6">
        <f>SUMIF('Bigger Board'!D:D,D182,'Bigger Board'!G:G)</f>
        <v>23</v>
      </c>
      <c r="H182" s="8">
        <f>SUMIF('Bigger Board'!D:D,D182,'Bigger Board'!H:H)</f>
        <v>84.7</v>
      </c>
      <c r="I182" s="9">
        <v>143.0</v>
      </c>
      <c r="J182" s="8" t="s">
        <v>24</v>
      </c>
    </row>
    <row r="183">
      <c r="A183" s="6">
        <f>SUMIF('Bigger Board'!D:D,D183,'Bigger Board'!A:A)</f>
        <v>179</v>
      </c>
      <c r="B183" s="6">
        <f>SUMIF('Bigger Board'!D:D,D183,'Bigger Board'!B:B)</f>
        <v>193</v>
      </c>
      <c r="C183" s="6">
        <f>SUMIF('Bigger Board'!D:D,D183,'Bigger Board'!C:C)</f>
        <v>174</v>
      </c>
      <c r="D183" s="7" t="s">
        <v>298</v>
      </c>
      <c r="E183" s="7" t="s">
        <v>299</v>
      </c>
      <c r="F183" s="6" t="s">
        <v>32</v>
      </c>
      <c r="G183" s="6">
        <f>SUMIF('Bigger Board'!D:D,D183,'Bigger Board'!G:G)</f>
        <v>21</v>
      </c>
      <c r="H183" s="8">
        <f>SUMIF('Bigger Board'!D:D,D183,'Bigger Board'!H:H)</f>
        <v>91.5</v>
      </c>
      <c r="I183" s="9"/>
      <c r="J183" s="8"/>
    </row>
    <row r="184">
      <c r="A184" s="6">
        <f>SUMIF('Bigger Board'!D:D,D184,'Bigger Board'!A:A)</f>
        <v>180</v>
      </c>
      <c r="B184" s="6">
        <f>SUMIF('Bigger Board'!D:D,D184,'Bigger Board'!B:B)</f>
        <v>159</v>
      </c>
      <c r="C184" s="6">
        <f>SUMIF('Bigger Board'!D:D,D184,'Bigger Board'!C:C)</f>
        <v>185</v>
      </c>
      <c r="D184" s="7" t="s">
        <v>300</v>
      </c>
      <c r="E184" s="7" t="s">
        <v>73</v>
      </c>
      <c r="F184" s="6" t="s">
        <v>54</v>
      </c>
      <c r="G184" s="6">
        <f>SUMIF('Bigger Board'!D:D,D184,'Bigger Board'!G:G)</f>
        <v>11</v>
      </c>
      <c r="H184" s="8">
        <f>SUMIF('Bigger Board'!D:D,D184,'Bigger Board'!H:H)</f>
        <v>86.5</v>
      </c>
      <c r="I184" s="9">
        <v>132.0</v>
      </c>
      <c r="J184" s="8" t="s">
        <v>60</v>
      </c>
    </row>
    <row r="185">
      <c r="A185" s="6">
        <f>SUMIF('Bigger Board'!D:D,D185,'Bigger Board'!A:A)</f>
        <v>181</v>
      </c>
      <c r="B185" s="6">
        <f>SUMIF('Bigger Board'!D:D,D185,'Bigger Board'!B:B)</f>
        <v>197</v>
      </c>
      <c r="C185" s="6">
        <f>SUMIF('Bigger Board'!D:D,D185,'Bigger Board'!C:C)</f>
        <v>183</v>
      </c>
      <c r="D185" s="7" t="s">
        <v>301</v>
      </c>
      <c r="E185" s="7" t="s">
        <v>50</v>
      </c>
      <c r="F185" s="6" t="s">
        <v>26</v>
      </c>
      <c r="G185" s="6">
        <f>SUMIF('Bigger Board'!D:D,D185,'Bigger Board'!G:G)</f>
        <v>13</v>
      </c>
      <c r="H185" s="8">
        <f>SUMIF('Bigger Board'!D:D,D185,'Bigger Board'!H:H)</f>
        <v>80.2</v>
      </c>
      <c r="I185" s="9"/>
      <c r="J185" s="8"/>
    </row>
    <row r="186">
      <c r="A186" s="6">
        <f>SUMIF('Bigger Board'!D:D,D186,'Bigger Board'!A:A)</f>
        <v>182</v>
      </c>
      <c r="B186" s="6">
        <f>SUMIF('Bigger Board'!D:D,D186,'Bigger Board'!B:B)</f>
        <v>207</v>
      </c>
      <c r="C186" s="6">
        <f>SUMIF('Bigger Board'!D:D,D186,'Bigger Board'!C:C)</f>
        <v>182</v>
      </c>
      <c r="D186" s="7" t="s">
        <v>302</v>
      </c>
      <c r="E186" s="7" t="s">
        <v>212</v>
      </c>
      <c r="F186" s="6" t="s">
        <v>23</v>
      </c>
      <c r="G186" s="6">
        <f>SUMIF('Bigger Board'!D:D,D186,'Bigger Board'!G:G)</f>
        <v>9</v>
      </c>
      <c r="H186" s="8">
        <f>SUMIF('Bigger Board'!D:D,D186,'Bigger Board'!H:H)</f>
        <v>89.7</v>
      </c>
      <c r="I186" s="9">
        <v>237.0</v>
      </c>
      <c r="J186" s="8" t="s">
        <v>103</v>
      </c>
    </row>
    <row r="187">
      <c r="A187" s="6">
        <f>SUMIF('Bigger Board'!D:D,D187,'Bigger Board'!A:A)</f>
        <v>183</v>
      </c>
      <c r="B187" s="6">
        <f>SUMIF('Bigger Board'!D:D,D187,'Bigger Board'!B:B)</f>
        <v>209</v>
      </c>
      <c r="C187" s="6">
        <f>SUMIF('Bigger Board'!D:D,D187,'Bigger Board'!C:C)</f>
        <v>187</v>
      </c>
      <c r="D187" s="7" t="s">
        <v>303</v>
      </c>
      <c r="E187" s="7" t="s">
        <v>202</v>
      </c>
      <c r="F187" s="6" t="s">
        <v>63</v>
      </c>
      <c r="G187" s="6">
        <f>SUMIF('Bigger Board'!D:D,D187,'Bigger Board'!G:G)</f>
        <v>15</v>
      </c>
      <c r="H187" s="8">
        <f>SUMIF('Bigger Board'!D:D,D187,'Bigger Board'!H:H)</f>
        <v>82.9</v>
      </c>
      <c r="I187" s="9"/>
      <c r="J187" s="8"/>
    </row>
    <row r="188">
      <c r="A188" s="6">
        <f>SUMIF('Bigger Board'!D:D,D188,'Bigger Board'!A:A)</f>
        <v>184</v>
      </c>
      <c r="B188" s="6">
        <f>SUMIF('Bigger Board'!D:D,D188,'Bigger Board'!B:B)</f>
        <v>220</v>
      </c>
      <c r="C188" s="6">
        <f>SUMIF('Bigger Board'!D:D,D188,'Bigger Board'!C:C)</f>
        <v>179</v>
      </c>
      <c r="D188" s="7" t="s">
        <v>304</v>
      </c>
      <c r="E188" s="7" t="s">
        <v>133</v>
      </c>
      <c r="F188" s="6" t="s">
        <v>40</v>
      </c>
      <c r="G188" s="6">
        <f>SUMIF('Bigger Board'!D:D,D188,'Bigger Board'!G:G)</f>
        <v>24</v>
      </c>
      <c r="H188" s="8">
        <f>SUMIF('Bigger Board'!D:D,D188,'Bigger Board'!H:H)</f>
        <v>105.1</v>
      </c>
      <c r="I188" s="9">
        <v>176.0</v>
      </c>
      <c r="J188" s="8" t="s">
        <v>45</v>
      </c>
    </row>
    <row r="189">
      <c r="A189" s="6">
        <f>SUMIF('Bigger Board'!D:D,D189,'Bigger Board'!A:A)</f>
        <v>185</v>
      </c>
      <c r="B189" s="6">
        <f>SUMIF('Bigger Board'!D:D,D189,'Bigger Board'!B:B)</f>
        <v>173</v>
      </c>
      <c r="C189" s="6">
        <f>SUMIF('Bigger Board'!D:D,D189,'Bigger Board'!C:C)</f>
        <v>192</v>
      </c>
      <c r="D189" s="7" t="s">
        <v>305</v>
      </c>
      <c r="E189" s="7" t="s">
        <v>133</v>
      </c>
      <c r="F189" s="6" t="s">
        <v>40</v>
      </c>
      <c r="G189" s="6">
        <f>SUMIF('Bigger Board'!D:D,D189,'Bigger Board'!G:G)</f>
        <v>25</v>
      </c>
      <c r="H189" s="8">
        <f>SUMIF('Bigger Board'!D:D,D189,'Bigger Board'!H:H)</f>
        <v>85.2</v>
      </c>
      <c r="I189" s="9"/>
      <c r="J189" s="8"/>
    </row>
    <row r="190">
      <c r="A190" s="6">
        <f>SUMIF('Bigger Board'!D:D,D190,'Bigger Board'!A:A)</f>
        <v>186</v>
      </c>
      <c r="B190" s="6">
        <f>SUMIF('Bigger Board'!D:D,D190,'Bigger Board'!B:B)</f>
        <v>216</v>
      </c>
      <c r="C190" s="6">
        <f>SUMIF('Bigger Board'!D:D,D190,'Bigger Board'!C:C)</f>
        <v>172</v>
      </c>
      <c r="D190" s="7" t="s">
        <v>306</v>
      </c>
      <c r="E190" s="7" t="s">
        <v>175</v>
      </c>
      <c r="F190" s="6" t="s">
        <v>40</v>
      </c>
      <c r="G190" s="6">
        <f>SUMIF('Bigger Board'!D:D,D190,'Bigger Board'!G:G)</f>
        <v>26</v>
      </c>
      <c r="H190" s="8">
        <f>SUMIF('Bigger Board'!D:D,D190,'Bigger Board'!H:H)</f>
        <v>105.5</v>
      </c>
      <c r="I190" s="9"/>
      <c r="J190" s="8"/>
    </row>
    <row r="191">
      <c r="A191" s="6">
        <f>SUMIF('Bigger Board'!D:D,D191,'Bigger Board'!A:A)</f>
        <v>187</v>
      </c>
      <c r="B191" s="6">
        <f>SUMIF('Bigger Board'!D:D,D191,'Bigger Board'!B:B)</f>
        <v>201</v>
      </c>
      <c r="C191" s="6">
        <f>SUMIF('Bigger Board'!D:D,D191,'Bigger Board'!C:C)</f>
        <v>188</v>
      </c>
      <c r="D191" s="7" t="s">
        <v>307</v>
      </c>
      <c r="E191" s="7" t="s">
        <v>308</v>
      </c>
      <c r="F191" s="6" t="s">
        <v>26</v>
      </c>
      <c r="G191" s="6">
        <f>SUMIF('Bigger Board'!D:D,D191,'Bigger Board'!G:G)</f>
        <v>14</v>
      </c>
      <c r="H191" s="8">
        <f>SUMIF('Bigger Board'!D:D,D191,'Bigger Board'!H:H)</f>
        <v>103.2</v>
      </c>
      <c r="I191" s="9">
        <v>100.0</v>
      </c>
      <c r="J191" s="8" t="s">
        <v>115</v>
      </c>
    </row>
    <row r="192">
      <c r="A192" s="6">
        <f>SUMIF('Bigger Board'!D:D,D192,'Bigger Board'!A:A)</f>
        <v>188</v>
      </c>
      <c r="B192" s="6">
        <f>SUMIF('Bigger Board'!D:D,D192,'Bigger Board'!B:B)</f>
        <v>175</v>
      </c>
      <c r="C192" s="6">
        <f>SUMIF('Bigger Board'!D:D,D192,'Bigger Board'!C:C)</f>
        <v>195</v>
      </c>
      <c r="D192" s="7" t="s">
        <v>309</v>
      </c>
      <c r="E192" s="7" t="s">
        <v>310</v>
      </c>
      <c r="F192" s="6" t="s">
        <v>32</v>
      </c>
      <c r="G192" s="6">
        <f>SUMIF('Bigger Board'!D:D,D192,'Bigger Board'!G:G)</f>
        <v>22</v>
      </c>
      <c r="H192" s="8">
        <f>SUMIF('Bigger Board'!D:D,D192,'Bigger Board'!H:H)</f>
        <v>97.3</v>
      </c>
      <c r="I192" s="9"/>
      <c r="J192" s="8"/>
    </row>
    <row r="193">
      <c r="A193" s="6">
        <f>SUMIF('Bigger Board'!D:D,D193,'Bigger Board'!A:A)</f>
        <v>189</v>
      </c>
      <c r="B193" s="6">
        <f>SUMIF('Bigger Board'!D:D,D193,'Bigger Board'!B:B)</f>
        <v>186</v>
      </c>
      <c r="C193" s="6">
        <f>SUMIF('Bigger Board'!D:D,D193,'Bigger Board'!C:C)</f>
        <v>197</v>
      </c>
      <c r="D193" s="7" t="s">
        <v>311</v>
      </c>
      <c r="E193" s="7" t="s">
        <v>312</v>
      </c>
      <c r="F193" s="6" t="s">
        <v>19</v>
      </c>
      <c r="G193" s="6">
        <f>SUMIF('Bigger Board'!D:D,D193,'Bigger Board'!G:G)</f>
        <v>17</v>
      </c>
      <c r="H193" s="8">
        <f>SUMIF('Bigger Board'!D:D,D193,'Bigger Board'!H:H)</f>
        <v>98.7</v>
      </c>
      <c r="I193" s="9">
        <v>193.0</v>
      </c>
      <c r="J193" s="8" t="s">
        <v>20</v>
      </c>
    </row>
    <row r="194">
      <c r="A194" s="6">
        <f>SUMIF('Bigger Board'!D:D,D194,'Bigger Board'!A:A)</f>
        <v>190</v>
      </c>
      <c r="B194" s="6">
        <f>SUMIF('Bigger Board'!D:D,D194,'Bigger Board'!B:B)</f>
        <v>164</v>
      </c>
      <c r="C194" s="6">
        <f>SUMIF('Bigger Board'!D:D,D194,'Bigger Board'!C:C)</f>
        <v>201</v>
      </c>
      <c r="D194" s="7" t="s">
        <v>313</v>
      </c>
      <c r="E194" s="7" t="s">
        <v>80</v>
      </c>
      <c r="F194" s="6" t="s">
        <v>23</v>
      </c>
      <c r="G194" s="6">
        <f>SUMIF('Bigger Board'!D:D,D194,'Bigger Board'!G:G)</f>
        <v>10</v>
      </c>
      <c r="H194" s="8">
        <f>SUMIF('Bigger Board'!D:D,D194,'Bigger Board'!H:H)</f>
        <v>89.7</v>
      </c>
      <c r="I194" s="9"/>
      <c r="J194" s="8"/>
    </row>
    <row r="195">
      <c r="A195" s="6">
        <f>SUMIF('Bigger Board'!D:D,D195,'Bigger Board'!A:A)</f>
        <v>191</v>
      </c>
      <c r="B195" s="6">
        <f>SUMIF('Bigger Board'!D:D,D195,'Bigger Board'!B:B)</f>
        <v>147</v>
      </c>
      <c r="C195" s="6">
        <f>SUMIF('Bigger Board'!D:D,D195,'Bigger Board'!C:C)</f>
        <v>203</v>
      </c>
      <c r="D195" s="7" t="s">
        <v>314</v>
      </c>
      <c r="E195" s="7" t="s">
        <v>124</v>
      </c>
      <c r="F195" s="6" t="s">
        <v>54</v>
      </c>
      <c r="G195" s="6">
        <f>SUMIF('Bigger Board'!D:D,D195,'Bigger Board'!G:G)</f>
        <v>12</v>
      </c>
      <c r="H195" s="8">
        <f>SUMIF('Bigger Board'!D:D,D195,'Bigger Board'!H:H)</f>
        <v>107.8</v>
      </c>
      <c r="I195" s="9">
        <v>106.0</v>
      </c>
      <c r="J195" s="8" t="s">
        <v>92</v>
      </c>
    </row>
    <row r="196">
      <c r="A196" s="6">
        <f>SUMIF('Bigger Board'!D:D,D196,'Bigger Board'!A:A)</f>
        <v>192</v>
      </c>
      <c r="B196" s="6">
        <f>SUMIF('Bigger Board'!D:D,D196,'Bigger Board'!B:B)</f>
        <v>203</v>
      </c>
      <c r="C196" s="6">
        <f>SUMIF('Bigger Board'!D:D,D196,'Bigger Board'!C:C)</f>
        <v>191</v>
      </c>
      <c r="D196" s="7" t="s">
        <v>315</v>
      </c>
      <c r="E196" s="7" t="s">
        <v>14</v>
      </c>
      <c r="F196" s="6" t="s">
        <v>170</v>
      </c>
      <c r="G196" s="6">
        <f>SUMIF('Bigger Board'!D:D,D196,'Bigger Board'!G:G)</f>
        <v>10</v>
      </c>
      <c r="H196" s="8">
        <f>SUMIF('Bigger Board'!D:D,D196,'Bigger Board'!H:H)</f>
        <v>92.4</v>
      </c>
      <c r="I196" s="9">
        <v>194.0</v>
      </c>
      <c r="J196" s="8" t="s">
        <v>41</v>
      </c>
    </row>
    <row r="197">
      <c r="A197" s="6">
        <f>SUMIF('Bigger Board'!D:D,D197,'Bigger Board'!A:A)</f>
        <v>193</v>
      </c>
      <c r="B197" s="6">
        <f>SUMIF('Bigger Board'!D:D,D197,'Bigger Board'!B:B)</f>
        <v>170</v>
      </c>
      <c r="C197" s="6">
        <f>SUMIF('Bigger Board'!D:D,D197,'Bigger Board'!C:C)</f>
        <v>198</v>
      </c>
      <c r="D197" s="7" t="s">
        <v>316</v>
      </c>
      <c r="E197" s="7" t="s">
        <v>80</v>
      </c>
      <c r="F197" s="6" t="s">
        <v>54</v>
      </c>
      <c r="G197" s="6">
        <f>SUMIF('Bigger Board'!D:D,D197,'Bigger Board'!G:G)</f>
        <v>13</v>
      </c>
      <c r="H197" s="8">
        <f>SUMIF('Bigger Board'!D:D,D197,'Bigger Board'!H:H)</f>
        <v>83.8</v>
      </c>
      <c r="I197" s="9">
        <v>241.0</v>
      </c>
      <c r="J197" s="8" t="s">
        <v>94</v>
      </c>
    </row>
    <row r="198">
      <c r="A198" s="6">
        <f>SUMIF('Bigger Board'!D:D,D198,'Bigger Board'!A:A)</f>
        <v>194</v>
      </c>
      <c r="B198" s="6">
        <f>SUMIF('Bigger Board'!D:D,D198,'Bigger Board'!B:B)</f>
        <v>214</v>
      </c>
      <c r="C198" s="6">
        <f>SUMIF('Bigger Board'!D:D,D198,'Bigger Board'!C:C)</f>
        <v>180</v>
      </c>
      <c r="D198" s="7" t="s">
        <v>317</v>
      </c>
      <c r="E198" s="7" t="s">
        <v>107</v>
      </c>
      <c r="F198" s="6" t="s">
        <v>234</v>
      </c>
      <c r="G198" s="6">
        <f>SUMIF('Bigger Board'!D:D,D198,'Bigger Board'!G:G)</f>
        <v>3</v>
      </c>
      <c r="H198" s="8">
        <f>SUMIF('Bigger Board'!D:D,D198,'Bigger Board'!H:H)</f>
        <v>101.9</v>
      </c>
      <c r="I198" s="9"/>
      <c r="J198" s="8"/>
    </row>
    <row r="199">
      <c r="A199" s="6">
        <f>SUMIF('Bigger Board'!D:D,D199,'Bigger Board'!A:A)</f>
        <v>195</v>
      </c>
      <c r="B199" s="6">
        <f>SUMIF('Bigger Board'!D:D,D199,'Bigger Board'!B:B)</f>
        <v>182</v>
      </c>
      <c r="C199" s="6">
        <f>SUMIF('Bigger Board'!D:D,D199,'Bigger Board'!C:C)</f>
        <v>199</v>
      </c>
      <c r="D199" s="7" t="s">
        <v>318</v>
      </c>
      <c r="E199" s="7" t="s">
        <v>128</v>
      </c>
      <c r="F199" s="6" t="s">
        <v>54</v>
      </c>
      <c r="G199" s="6">
        <f>SUMIF('Bigger Board'!D:D,D199,'Bigger Board'!G:G)</f>
        <v>14</v>
      </c>
      <c r="H199" s="8">
        <f>SUMIF('Bigger Board'!D:D,D199,'Bigger Board'!H:H)</f>
        <v>85.6</v>
      </c>
      <c r="I199" s="9">
        <v>200.0</v>
      </c>
      <c r="J199" s="8" t="s">
        <v>71</v>
      </c>
    </row>
    <row r="200">
      <c r="A200" s="6">
        <f>SUMIF('Bigger Board'!D:D,D200,'Bigger Board'!A:A)</f>
        <v>196</v>
      </c>
      <c r="B200" s="6">
        <f>SUMIF('Bigger Board'!D:D,D200,'Bigger Board'!B:B)</f>
        <v>204</v>
      </c>
      <c r="C200" s="6">
        <f>SUMIF('Bigger Board'!D:D,D200,'Bigger Board'!C:C)</f>
        <v>194</v>
      </c>
      <c r="D200" s="7" t="s">
        <v>319</v>
      </c>
      <c r="E200" s="7" t="s">
        <v>70</v>
      </c>
      <c r="F200" s="6" t="s">
        <v>63</v>
      </c>
      <c r="G200" s="6">
        <f>SUMIF('Bigger Board'!D:D,D200,'Bigger Board'!G:G)</f>
        <v>16</v>
      </c>
      <c r="H200" s="8">
        <f>SUMIF('Bigger Board'!D:D,D200,'Bigger Board'!H:H)</f>
        <v>88.7</v>
      </c>
      <c r="I200" s="9">
        <v>173.0</v>
      </c>
      <c r="J200" s="8" t="s">
        <v>55</v>
      </c>
    </row>
    <row r="201">
      <c r="A201" s="6">
        <f>SUMIF('Bigger Board'!D:D,D201,'Bigger Board'!A:A)</f>
        <v>197</v>
      </c>
      <c r="B201" s="6">
        <f>SUMIF('Bigger Board'!D:D,D201,'Bigger Board'!B:B)</f>
        <v>229</v>
      </c>
      <c r="C201" s="6">
        <f>SUMIF('Bigger Board'!D:D,D201,'Bigger Board'!C:C)</f>
        <v>190</v>
      </c>
      <c r="D201" s="7" t="s">
        <v>320</v>
      </c>
      <c r="E201" s="7" t="s">
        <v>321</v>
      </c>
      <c r="F201" s="6" t="s">
        <v>19</v>
      </c>
      <c r="G201" s="6">
        <f>SUMIF('Bigger Board'!D:D,D201,'Bigger Board'!G:G)</f>
        <v>18</v>
      </c>
      <c r="H201" s="8">
        <f>SUMIF('Bigger Board'!D:D,D201,'Bigger Board'!H:H)</f>
        <v>91.9</v>
      </c>
      <c r="I201" s="9">
        <v>257.0</v>
      </c>
      <c r="J201" s="8" t="s">
        <v>195</v>
      </c>
    </row>
    <row r="202">
      <c r="A202" s="6">
        <f>SUMIF('Bigger Board'!D:D,D202,'Bigger Board'!A:A)</f>
        <v>198</v>
      </c>
      <c r="B202" s="6">
        <f>SUMIF('Bigger Board'!D:D,D202,'Bigger Board'!B:B)</f>
        <v>148</v>
      </c>
      <c r="C202" s="6">
        <f>SUMIF('Bigger Board'!D:D,D202,'Bigger Board'!C:C)</f>
        <v>205</v>
      </c>
      <c r="D202" s="7" t="s">
        <v>322</v>
      </c>
      <c r="E202" s="7" t="s">
        <v>70</v>
      </c>
      <c r="F202" s="6" t="s">
        <v>19</v>
      </c>
      <c r="G202" s="6">
        <f>SUMIF('Bigger Board'!D:D,D202,'Bigger Board'!G:G)</f>
        <v>19</v>
      </c>
      <c r="H202" s="8">
        <f>SUMIF('Bigger Board'!D:D,D202,'Bigger Board'!H:H)</f>
        <v>92.4</v>
      </c>
      <c r="I202" s="9">
        <v>149.0</v>
      </c>
      <c r="J202" s="8" t="s">
        <v>48</v>
      </c>
    </row>
    <row r="203">
      <c r="A203" s="6">
        <f>SUMIF('Bigger Board'!D:D,D203,'Bigger Board'!A:A)</f>
        <v>199</v>
      </c>
      <c r="B203" s="6">
        <f>SUMIF('Bigger Board'!D:D,D203,'Bigger Board'!B:B)</f>
        <v>232</v>
      </c>
      <c r="C203" s="6">
        <f>SUMIF('Bigger Board'!D:D,D203,'Bigger Board'!C:C)</f>
        <v>186</v>
      </c>
      <c r="D203" s="7" t="s">
        <v>323</v>
      </c>
      <c r="E203" s="7" t="s">
        <v>14</v>
      </c>
      <c r="F203" s="6" t="s">
        <v>26</v>
      </c>
      <c r="G203" s="6">
        <f>SUMIF('Bigger Board'!D:D,D203,'Bigger Board'!G:G)</f>
        <v>15</v>
      </c>
      <c r="H203" s="8">
        <f>SUMIF('Bigger Board'!D:D,D203,'Bigger Board'!H:H)</f>
        <v>97.3</v>
      </c>
      <c r="I203" s="9"/>
      <c r="J203" s="8"/>
    </row>
    <row r="204">
      <c r="A204" s="6">
        <f>SUMIF('Bigger Board'!D:D,D204,'Bigger Board'!A:A)</f>
        <v>200</v>
      </c>
      <c r="B204" s="6">
        <f>SUMIF('Bigger Board'!D:D,D204,'Bigger Board'!B:B)</f>
        <v>231</v>
      </c>
      <c r="C204" s="6">
        <f>SUMIF('Bigger Board'!D:D,D204,'Bigger Board'!C:C)</f>
        <v>193</v>
      </c>
      <c r="D204" s="7" t="s">
        <v>324</v>
      </c>
      <c r="E204" s="7" t="s">
        <v>212</v>
      </c>
      <c r="F204" s="6" t="s">
        <v>40</v>
      </c>
      <c r="G204" s="6">
        <f>SUMIF('Bigger Board'!D:D,D204,'Bigger Board'!G:G)</f>
        <v>27</v>
      </c>
      <c r="H204" s="8">
        <f>SUMIF('Bigger Board'!D:D,D204,'Bigger Board'!H:H)</f>
        <v>99.6</v>
      </c>
      <c r="I204" s="9">
        <v>168.0</v>
      </c>
      <c r="J204" s="8" t="s">
        <v>96</v>
      </c>
    </row>
    <row r="205">
      <c r="A205" s="6">
        <f>SUMIF('Bigger Board'!D:D,D205,'Bigger Board'!A:A)</f>
        <v>201</v>
      </c>
      <c r="B205" s="6">
        <f>SUMIF('Bigger Board'!D:D,D205,'Bigger Board'!B:B)</f>
        <v>230</v>
      </c>
      <c r="C205" s="6">
        <f>SUMIF('Bigger Board'!D:D,D205,'Bigger Board'!C:C)</f>
        <v>200</v>
      </c>
      <c r="D205" s="7" t="s">
        <v>325</v>
      </c>
      <c r="E205" s="7" t="s">
        <v>326</v>
      </c>
      <c r="F205" s="6" t="s">
        <v>23</v>
      </c>
      <c r="G205" s="6">
        <f>SUMIF('Bigger Board'!D:D,D205,'Bigger Board'!G:G)</f>
        <v>11</v>
      </c>
      <c r="H205" s="8">
        <f>SUMIF('Bigger Board'!D:D,D205,'Bigger Board'!H:H)</f>
        <v>93.3</v>
      </c>
      <c r="I205" s="9">
        <v>230.0</v>
      </c>
      <c r="J205" s="8" t="s">
        <v>99</v>
      </c>
    </row>
    <row r="206">
      <c r="A206" s="6">
        <f>SUMIF('Bigger Board'!D:D,D206,'Bigger Board'!A:A)</f>
        <v>202</v>
      </c>
      <c r="B206" s="6">
        <f>SUMIF('Bigger Board'!D:D,D206,'Bigger Board'!B:B)</f>
        <v>251</v>
      </c>
      <c r="C206" s="6">
        <f>SUMIF('Bigger Board'!D:D,D206,'Bigger Board'!C:C)</f>
        <v>189</v>
      </c>
      <c r="D206" s="7" t="s">
        <v>327</v>
      </c>
      <c r="E206" s="7" t="s">
        <v>31</v>
      </c>
      <c r="F206" s="6" t="s">
        <v>40</v>
      </c>
      <c r="G206" s="6">
        <f>SUMIF('Bigger Board'!D:D,D206,'Bigger Board'!G:G)</f>
        <v>28</v>
      </c>
      <c r="H206" s="8">
        <f>SUMIF('Bigger Board'!D:D,D206,'Bigger Board'!H:H)</f>
        <v>110.9</v>
      </c>
      <c r="I206" s="9">
        <v>197.0</v>
      </c>
      <c r="J206" s="8" t="s">
        <v>110</v>
      </c>
    </row>
    <row r="207">
      <c r="A207" s="6">
        <f>SUMIF('Bigger Board'!D:D,D207,'Bigger Board'!A:A)</f>
        <v>203</v>
      </c>
      <c r="B207" s="6">
        <f>SUMIF('Bigger Board'!D:D,D207,'Bigger Board'!B:B)</f>
        <v>202</v>
      </c>
      <c r="C207" s="6">
        <f>SUMIF('Bigger Board'!D:D,D207,'Bigger Board'!C:C)</f>
        <v>202</v>
      </c>
      <c r="D207" s="7" t="s">
        <v>328</v>
      </c>
      <c r="E207" s="7" t="s">
        <v>22</v>
      </c>
      <c r="F207" s="6" t="s">
        <v>38</v>
      </c>
      <c r="G207" s="6">
        <f>SUMIF('Bigger Board'!D:D,D207,'Bigger Board'!G:G)</f>
        <v>18</v>
      </c>
      <c r="H207" s="8">
        <f>SUMIF('Bigger Board'!D:D,D207,'Bigger Board'!H:H)</f>
        <v>86.5</v>
      </c>
      <c r="I207" s="9"/>
      <c r="J207" s="8"/>
    </row>
    <row r="208">
      <c r="A208" s="6">
        <f>SUMIF('Bigger Board'!D:D,D208,'Bigger Board'!A:A)</f>
        <v>204</v>
      </c>
      <c r="B208" s="6">
        <f>SUMIF('Bigger Board'!D:D,D208,'Bigger Board'!B:B)</f>
        <v>185</v>
      </c>
      <c r="C208" s="6">
        <f>SUMIF('Bigger Board'!D:D,D208,'Bigger Board'!C:C)</f>
        <v>207</v>
      </c>
      <c r="D208" s="7" t="s">
        <v>329</v>
      </c>
      <c r="E208" s="7" t="s">
        <v>75</v>
      </c>
      <c r="F208" s="6" t="s">
        <v>23</v>
      </c>
      <c r="G208" s="6">
        <f>SUMIF('Bigger Board'!D:D,D208,'Bigger Board'!G:G)</f>
        <v>12</v>
      </c>
      <c r="H208" s="8">
        <f>SUMIF('Bigger Board'!D:D,D208,'Bigger Board'!H:H)</f>
        <v>81.1</v>
      </c>
      <c r="I208" s="9">
        <v>174.0</v>
      </c>
      <c r="J208" s="8" t="s">
        <v>55</v>
      </c>
    </row>
    <row r="209">
      <c r="A209" s="6">
        <f>SUMIF('Bigger Board'!D:D,D209,'Bigger Board'!A:A)</f>
        <v>205</v>
      </c>
      <c r="B209" s="6">
        <f>SUMIF('Bigger Board'!D:D,D209,'Bigger Board'!B:B)</f>
        <v>149</v>
      </c>
      <c r="C209" s="6">
        <f>SUMIF('Bigger Board'!D:D,D209,'Bigger Board'!C:C)</f>
        <v>216</v>
      </c>
      <c r="D209" s="7" t="s">
        <v>330</v>
      </c>
      <c r="E209" s="7" t="s">
        <v>18</v>
      </c>
      <c r="F209" s="6" t="s">
        <v>63</v>
      </c>
      <c r="G209" s="6">
        <f>SUMIF('Bigger Board'!D:D,D209,'Bigger Board'!G:G)</f>
        <v>17</v>
      </c>
      <c r="H209" s="8">
        <f>SUMIF('Bigger Board'!D:D,D209,'Bigger Board'!H:H)</f>
        <v>99.2</v>
      </c>
      <c r="I209" s="9">
        <v>87.0</v>
      </c>
      <c r="J209" s="8" t="s">
        <v>71</v>
      </c>
    </row>
    <row r="210">
      <c r="A210" s="6">
        <f>SUMIF('Bigger Board'!D:D,D210,'Bigger Board'!A:A)</f>
        <v>206</v>
      </c>
      <c r="B210" s="6">
        <f>SUMIF('Bigger Board'!D:D,D210,'Bigger Board'!B:B)</f>
        <v>241</v>
      </c>
      <c r="C210" s="6">
        <f>SUMIF('Bigger Board'!D:D,D210,'Bigger Board'!C:C)</f>
        <v>196</v>
      </c>
      <c r="D210" s="7" t="s">
        <v>331</v>
      </c>
      <c r="E210" s="7" t="s">
        <v>144</v>
      </c>
      <c r="F210" s="6" t="s">
        <v>40</v>
      </c>
      <c r="G210" s="6">
        <f>SUMIF('Bigger Board'!D:D,D210,'Bigger Board'!G:G)</f>
        <v>29</v>
      </c>
      <c r="H210" s="8">
        <f>SUMIF('Bigger Board'!D:D,D210,'Bigger Board'!H:H)</f>
        <v>95.1</v>
      </c>
      <c r="I210" s="9"/>
      <c r="J210" s="8"/>
    </row>
    <row r="211">
      <c r="A211" s="6">
        <f>SUMIF('Bigger Board'!D:D,D211,'Bigger Board'!A:A)</f>
        <v>207</v>
      </c>
      <c r="B211" s="6">
        <f>SUMIF('Bigger Board'!D:D,D211,'Bigger Board'!B:B)</f>
        <v>172</v>
      </c>
      <c r="C211" s="6">
        <f>SUMIF('Bigger Board'!D:D,D211,'Bigger Board'!C:C)</f>
        <v>215</v>
      </c>
      <c r="D211" s="7" t="s">
        <v>332</v>
      </c>
      <c r="E211" s="7" t="s">
        <v>128</v>
      </c>
      <c r="F211" s="6" t="s">
        <v>32</v>
      </c>
      <c r="G211" s="6">
        <f>SUMIF('Bigger Board'!D:D,D211,'Bigger Board'!G:G)</f>
        <v>23</v>
      </c>
      <c r="H211" s="8">
        <f>SUMIF('Bigger Board'!D:D,D211,'Bigger Board'!H:H)</f>
        <v>89.2</v>
      </c>
      <c r="I211" s="9">
        <v>130.0</v>
      </c>
      <c r="J211" s="8" t="s">
        <v>71</v>
      </c>
    </row>
    <row r="212">
      <c r="A212" s="6">
        <f>SUMIF('Bigger Board'!D:D,D212,'Bigger Board'!A:A)</f>
        <v>208</v>
      </c>
      <c r="B212" s="6">
        <f>SUMIF('Bigger Board'!D:D,D212,'Bigger Board'!B:B)</f>
        <v>212</v>
      </c>
      <c r="C212" s="6">
        <f>SUMIF('Bigger Board'!D:D,D212,'Bigger Board'!C:C)</f>
        <v>206</v>
      </c>
      <c r="D212" s="7" t="s">
        <v>333</v>
      </c>
      <c r="E212" s="7" t="s">
        <v>334</v>
      </c>
      <c r="F212" s="6" t="s">
        <v>23</v>
      </c>
      <c r="G212" s="6">
        <f>SUMIF('Bigger Board'!D:D,D212,'Bigger Board'!G:G)</f>
        <v>13</v>
      </c>
      <c r="H212" s="8">
        <f>SUMIF('Bigger Board'!D:D,D212,'Bigger Board'!H:H)</f>
        <v>99.6</v>
      </c>
      <c r="I212" s="9"/>
      <c r="J212" s="8"/>
    </row>
    <row r="213">
      <c r="A213" s="6">
        <f>SUMIF('Bigger Board'!D:D,D213,'Bigger Board'!A:A)</f>
        <v>209</v>
      </c>
      <c r="B213" s="6">
        <f>SUMIF('Bigger Board'!D:D,D213,'Bigger Board'!B:B)</f>
        <v>199</v>
      </c>
      <c r="C213" s="6">
        <f>SUMIF('Bigger Board'!D:D,D213,'Bigger Board'!C:C)</f>
        <v>210</v>
      </c>
      <c r="D213" s="7" t="s">
        <v>335</v>
      </c>
      <c r="E213" s="7" t="s">
        <v>153</v>
      </c>
      <c r="F213" s="6" t="s">
        <v>44</v>
      </c>
      <c r="G213" s="6">
        <f>SUMIF('Bigger Board'!D:D,D213,'Bigger Board'!G:G)</f>
        <v>23</v>
      </c>
      <c r="H213" s="8">
        <f>SUMIF('Bigger Board'!D:D,D213,'Bigger Board'!H:H)</f>
        <v>96</v>
      </c>
      <c r="I213" s="9">
        <v>219.0</v>
      </c>
      <c r="J213" s="8" t="s">
        <v>60</v>
      </c>
    </row>
    <row r="214">
      <c r="A214" s="6">
        <f>SUMIF('Bigger Board'!D:D,D214,'Bigger Board'!A:A)</f>
        <v>210</v>
      </c>
      <c r="B214" s="6">
        <f>SUMIF('Bigger Board'!D:D,D214,'Bigger Board'!B:B)</f>
        <v>146</v>
      </c>
      <c r="C214" s="6">
        <f>SUMIF('Bigger Board'!D:D,D214,'Bigger Board'!C:C)</f>
        <v>219</v>
      </c>
      <c r="D214" s="7" t="s">
        <v>336</v>
      </c>
      <c r="E214" s="7" t="s">
        <v>124</v>
      </c>
      <c r="F214" s="6" t="s">
        <v>26</v>
      </c>
      <c r="G214" s="6">
        <f>SUMIF('Bigger Board'!D:D,D214,'Bigger Board'!G:G)</f>
        <v>16</v>
      </c>
      <c r="H214" s="8">
        <f>SUMIF('Bigger Board'!D:D,D214,'Bigger Board'!H:H)</f>
        <v>91</v>
      </c>
      <c r="I214" s="9">
        <v>224.0</v>
      </c>
      <c r="J214" s="8" t="s">
        <v>99</v>
      </c>
    </row>
    <row r="215">
      <c r="A215" s="6">
        <f>SUMIF('Bigger Board'!D:D,D215,'Bigger Board'!A:A)</f>
        <v>211</v>
      </c>
      <c r="B215" s="6">
        <f>SUMIF('Bigger Board'!D:D,D215,'Bigger Board'!B:B)</f>
        <v>191</v>
      </c>
      <c r="C215" s="6">
        <f>SUMIF('Bigger Board'!D:D,D215,'Bigger Board'!C:C)</f>
        <v>211</v>
      </c>
      <c r="D215" s="7" t="s">
        <v>337</v>
      </c>
      <c r="E215" s="7" t="s">
        <v>70</v>
      </c>
      <c r="F215" s="6" t="s">
        <v>44</v>
      </c>
      <c r="G215" s="6">
        <f>SUMIF('Bigger Board'!D:D,D215,'Bigger Board'!G:G)</f>
        <v>24</v>
      </c>
      <c r="H215" s="8">
        <f>SUMIF('Bigger Board'!D:D,D215,'Bigger Board'!H:H)</f>
        <v>95.1</v>
      </c>
      <c r="I215" s="9">
        <v>201.0</v>
      </c>
      <c r="J215" s="8" t="s">
        <v>120</v>
      </c>
    </row>
    <row r="216">
      <c r="A216" s="6">
        <f>SUMIF('Bigger Board'!D:D,D216,'Bigger Board'!A:A)</f>
        <v>212</v>
      </c>
      <c r="B216" s="6">
        <f>SUMIF('Bigger Board'!D:D,D216,'Bigger Board'!B:B)</f>
        <v>171</v>
      </c>
      <c r="C216" s="6">
        <f>SUMIF('Bigger Board'!D:D,D216,'Bigger Board'!C:C)</f>
        <v>213</v>
      </c>
      <c r="D216" s="7" t="s">
        <v>338</v>
      </c>
      <c r="E216" s="7" t="s">
        <v>31</v>
      </c>
      <c r="F216" s="6" t="s">
        <v>54</v>
      </c>
      <c r="G216" s="6">
        <f>SUMIF('Bigger Board'!D:D,D216,'Bigger Board'!G:G)</f>
        <v>15</v>
      </c>
      <c r="H216" s="8">
        <f>SUMIF('Bigger Board'!D:D,D216,'Bigger Board'!H:H)</f>
        <v>88.3</v>
      </c>
      <c r="I216" s="9">
        <v>188.0</v>
      </c>
      <c r="J216" s="8" t="s">
        <v>36</v>
      </c>
    </row>
    <row r="217">
      <c r="A217" s="6">
        <f>SUMIF('Bigger Board'!D:D,D217,'Bigger Board'!A:A)</f>
        <v>213</v>
      </c>
      <c r="B217" s="6">
        <f>SUMIF('Bigger Board'!D:D,D217,'Bigger Board'!B:B)</f>
        <v>242</v>
      </c>
      <c r="C217" s="6">
        <f>SUMIF('Bigger Board'!D:D,D217,'Bigger Board'!C:C)</f>
        <v>208</v>
      </c>
      <c r="D217" s="7" t="s">
        <v>339</v>
      </c>
      <c r="E217" s="7" t="s">
        <v>340</v>
      </c>
      <c r="F217" s="6" t="s">
        <v>63</v>
      </c>
      <c r="G217" s="6">
        <f>SUMIF('Bigger Board'!D:D,D217,'Bigger Board'!G:G)</f>
        <v>18</v>
      </c>
      <c r="H217" s="8">
        <f>SUMIF('Bigger Board'!D:D,D217,'Bigger Board'!H:H)</f>
        <v>84.2</v>
      </c>
      <c r="I217" s="9"/>
      <c r="J217" s="8"/>
    </row>
    <row r="218">
      <c r="A218" s="6">
        <f>SUMIF('Bigger Board'!D:D,D218,'Bigger Board'!A:A)</f>
        <v>214</v>
      </c>
      <c r="B218" s="6">
        <f>SUMIF('Bigger Board'!D:D,D218,'Bigger Board'!B:B)</f>
        <v>238</v>
      </c>
      <c r="C218" s="6">
        <f>SUMIF('Bigger Board'!D:D,D218,'Bigger Board'!C:C)</f>
        <v>209</v>
      </c>
      <c r="D218" s="7" t="s">
        <v>341</v>
      </c>
      <c r="E218" s="7" t="s">
        <v>14</v>
      </c>
      <c r="F218" s="6" t="s">
        <v>23</v>
      </c>
      <c r="G218" s="6">
        <f>SUMIF('Bigger Board'!D:D,D218,'Bigger Board'!G:G)</f>
        <v>14</v>
      </c>
      <c r="H218" s="8">
        <f>SUMIF('Bigger Board'!D:D,D218,'Bigger Board'!H:H)</f>
        <v>91.9</v>
      </c>
      <c r="I218" s="9">
        <v>90.0</v>
      </c>
      <c r="J218" s="8" t="s">
        <v>173</v>
      </c>
    </row>
    <row r="219">
      <c r="A219" s="6">
        <f>SUMIF('Bigger Board'!D:D,D219,'Bigger Board'!A:A)</f>
        <v>215</v>
      </c>
      <c r="B219" s="6">
        <f>SUMIF('Bigger Board'!D:D,D219,'Bigger Board'!B:B)</f>
        <v>293</v>
      </c>
      <c r="C219" s="6">
        <f>SUMIF('Bigger Board'!D:D,D219,'Bigger Board'!C:C)</f>
        <v>204</v>
      </c>
      <c r="D219" s="7" t="s">
        <v>342</v>
      </c>
      <c r="E219" s="7" t="s">
        <v>326</v>
      </c>
      <c r="F219" s="6" t="s">
        <v>234</v>
      </c>
      <c r="G219" s="6">
        <f>SUMIF('Bigger Board'!D:D,D219,'Bigger Board'!G:G)</f>
        <v>4</v>
      </c>
      <c r="H219" s="8">
        <f>SUMIF('Bigger Board'!D:D,D219,'Bigger Board'!H:H)</f>
        <v>90.1</v>
      </c>
      <c r="I219" s="9">
        <v>226.0</v>
      </c>
      <c r="J219" s="8" t="s">
        <v>105</v>
      </c>
    </row>
    <row r="220">
      <c r="A220" s="6">
        <f>SUMIF('Bigger Board'!D:D,D220,'Bigger Board'!A:A)</f>
        <v>216</v>
      </c>
      <c r="B220" s="6">
        <f>SUMIF('Bigger Board'!D:D,D220,'Bigger Board'!B:B)</f>
        <v>227</v>
      </c>
      <c r="C220" s="6">
        <f>SUMIF('Bigger Board'!D:D,D220,'Bigger Board'!C:C)</f>
        <v>214</v>
      </c>
      <c r="D220" s="7" t="s">
        <v>343</v>
      </c>
      <c r="E220" s="7" t="s">
        <v>344</v>
      </c>
      <c r="F220" s="6" t="s">
        <v>44</v>
      </c>
      <c r="G220" s="6">
        <f>SUMIF('Bigger Board'!D:D,D220,'Bigger Board'!G:G)</f>
        <v>25</v>
      </c>
      <c r="H220" s="8">
        <f>SUMIF('Bigger Board'!D:D,D220,'Bigger Board'!H:H)</f>
        <v>85.6</v>
      </c>
      <c r="I220" s="9"/>
      <c r="J220" s="8"/>
    </row>
    <row r="221">
      <c r="A221" s="6">
        <f>SUMIF('Bigger Board'!D:D,D221,'Bigger Board'!A:A)</f>
        <v>217</v>
      </c>
      <c r="B221" s="6">
        <f>SUMIF('Bigger Board'!D:D,D221,'Bigger Board'!B:B)</f>
        <v>217</v>
      </c>
      <c r="C221" s="6">
        <f>SUMIF('Bigger Board'!D:D,D221,'Bigger Board'!C:C)</f>
        <v>220</v>
      </c>
      <c r="D221" s="7" t="s">
        <v>345</v>
      </c>
      <c r="E221" s="7" t="s">
        <v>47</v>
      </c>
      <c r="F221" s="6" t="s">
        <v>19</v>
      </c>
      <c r="G221" s="6">
        <f>SUMIF('Bigger Board'!D:D,D221,'Bigger Board'!G:G)</f>
        <v>20</v>
      </c>
      <c r="H221" s="8">
        <f>SUMIF('Bigger Board'!D:D,D221,'Bigger Board'!H:H)</f>
        <v>82.4</v>
      </c>
      <c r="I221" s="9"/>
      <c r="J221" s="8"/>
    </row>
    <row r="222">
      <c r="A222" s="6">
        <f>SUMIF('Bigger Board'!D:D,D222,'Bigger Board'!A:A)</f>
        <v>218</v>
      </c>
      <c r="B222" s="6">
        <f>SUMIF('Bigger Board'!D:D,D222,'Bigger Board'!B:B)</f>
        <v>211</v>
      </c>
      <c r="C222" s="6">
        <f>SUMIF('Bigger Board'!D:D,D222,'Bigger Board'!C:C)</f>
        <v>223</v>
      </c>
      <c r="D222" s="7" t="s">
        <v>346</v>
      </c>
      <c r="E222" s="7" t="s">
        <v>245</v>
      </c>
      <c r="F222" s="6" t="s">
        <v>54</v>
      </c>
      <c r="G222" s="6">
        <f>SUMIF('Bigger Board'!D:D,D222,'Bigger Board'!G:G)</f>
        <v>16</v>
      </c>
      <c r="H222" s="8">
        <f>SUMIF('Bigger Board'!D:D,D222,'Bigger Board'!H:H)</f>
        <v>79.7</v>
      </c>
      <c r="I222" s="9">
        <v>202.0</v>
      </c>
      <c r="J222" s="8" t="s">
        <v>78</v>
      </c>
    </row>
    <row r="223">
      <c r="A223" s="6">
        <f>SUMIF('Bigger Board'!D:D,D223,'Bigger Board'!A:A)</f>
        <v>219</v>
      </c>
      <c r="B223" s="6">
        <f>SUMIF('Bigger Board'!D:D,D223,'Bigger Board'!B:B)</f>
        <v>205</v>
      </c>
      <c r="C223" s="6">
        <f>SUMIF('Bigger Board'!D:D,D223,'Bigger Board'!C:C)</f>
        <v>224</v>
      </c>
      <c r="D223" s="7" t="s">
        <v>347</v>
      </c>
      <c r="E223" s="7" t="s">
        <v>35</v>
      </c>
      <c r="F223" s="6" t="s">
        <v>40</v>
      </c>
      <c r="G223" s="6">
        <f>SUMIF('Bigger Board'!D:D,D223,'Bigger Board'!G:G)</f>
        <v>30</v>
      </c>
      <c r="H223" s="8">
        <f>SUMIF('Bigger Board'!D:D,D223,'Bigger Board'!H:H)</f>
        <v>104.1</v>
      </c>
      <c r="I223" s="9">
        <v>75.0</v>
      </c>
      <c r="J223" s="8" t="s">
        <v>71</v>
      </c>
    </row>
    <row r="224">
      <c r="A224" s="6">
        <f>SUMIF('Bigger Board'!D:D,D224,'Bigger Board'!A:A)</f>
        <v>220</v>
      </c>
      <c r="B224" s="6">
        <f>SUMIF('Bigger Board'!D:D,D224,'Bigger Board'!B:B)</f>
        <v>264</v>
      </c>
      <c r="C224" s="6">
        <f>SUMIF('Bigger Board'!D:D,D224,'Bigger Board'!C:C)</f>
        <v>212</v>
      </c>
      <c r="D224" s="7" t="s">
        <v>348</v>
      </c>
      <c r="E224" s="7" t="s">
        <v>14</v>
      </c>
      <c r="F224" s="6" t="s">
        <v>32</v>
      </c>
      <c r="G224" s="6">
        <f>SUMIF('Bigger Board'!D:D,D224,'Bigger Board'!G:G)</f>
        <v>24</v>
      </c>
      <c r="H224" s="8">
        <f>SUMIF('Bigger Board'!D:D,D224,'Bigger Board'!H:H)</f>
        <v>91.5</v>
      </c>
      <c r="I224" s="9"/>
      <c r="J224" s="8"/>
    </row>
    <row r="225">
      <c r="A225" s="6">
        <f>SUMIF('Bigger Board'!D:D,D225,'Bigger Board'!A:A)</f>
        <v>221</v>
      </c>
      <c r="B225" s="6">
        <f>SUMIF('Bigger Board'!D:D,D225,'Bigger Board'!B:B)</f>
        <v>253</v>
      </c>
      <c r="C225" s="6">
        <f>SUMIF('Bigger Board'!D:D,D225,'Bigger Board'!C:C)</f>
        <v>222</v>
      </c>
      <c r="D225" s="7" t="s">
        <v>349</v>
      </c>
      <c r="E225" s="7" t="s">
        <v>67</v>
      </c>
      <c r="F225" s="6" t="s">
        <v>54</v>
      </c>
      <c r="G225" s="6">
        <f>SUMIF('Bigger Board'!D:D,D225,'Bigger Board'!G:G)</f>
        <v>17</v>
      </c>
      <c r="H225" s="8">
        <f>SUMIF('Bigger Board'!D:D,D225,'Bigger Board'!H:H)</f>
        <v>72.5</v>
      </c>
      <c r="I225" s="9">
        <v>207.0</v>
      </c>
      <c r="J225" s="8" t="s">
        <v>51</v>
      </c>
    </row>
    <row r="226">
      <c r="A226" s="6">
        <f>SUMIF('Bigger Board'!D:D,D226,'Bigger Board'!A:A)</f>
        <v>222</v>
      </c>
      <c r="B226" s="6">
        <f>SUMIF('Bigger Board'!D:D,D226,'Bigger Board'!B:B)</f>
        <v>219</v>
      </c>
      <c r="C226" s="6">
        <f>SUMIF('Bigger Board'!D:D,D226,'Bigger Board'!C:C)</f>
        <v>229</v>
      </c>
      <c r="D226" s="7" t="s">
        <v>350</v>
      </c>
      <c r="E226" s="7" t="s">
        <v>14</v>
      </c>
      <c r="F226" s="6" t="s">
        <v>23</v>
      </c>
      <c r="G226" s="6">
        <f>SUMIF('Bigger Board'!D:D,D226,'Bigger Board'!G:G)</f>
        <v>15</v>
      </c>
      <c r="H226" s="8">
        <f>SUMIF('Bigger Board'!D:D,D226,'Bigger Board'!H:H)</f>
        <v>86.9</v>
      </c>
      <c r="I226" s="9"/>
      <c r="J226" s="8"/>
    </row>
    <row r="227">
      <c r="A227" s="6">
        <f>SUMIF('Bigger Board'!D:D,D227,'Bigger Board'!A:A)</f>
        <v>223</v>
      </c>
      <c r="B227" s="6">
        <f>SUMIF('Bigger Board'!D:D,D227,'Bigger Board'!B:B)</f>
        <v>224</v>
      </c>
      <c r="C227" s="6">
        <f>SUMIF('Bigger Board'!D:D,D227,'Bigger Board'!C:C)</f>
        <v>228</v>
      </c>
      <c r="D227" s="7" t="s">
        <v>351</v>
      </c>
      <c r="E227" s="7" t="s">
        <v>227</v>
      </c>
      <c r="F227" s="6" t="s">
        <v>15</v>
      </c>
      <c r="G227" s="6">
        <f>SUMIF('Bigger Board'!D:D,D227,'Bigger Board'!G:G)</f>
        <v>9</v>
      </c>
      <c r="H227" s="8">
        <f>SUMIF('Bigger Board'!D:D,D227,'Bigger Board'!H:H)</f>
        <v>86</v>
      </c>
      <c r="I227" s="9"/>
      <c r="J227" s="8"/>
    </row>
    <row r="228">
      <c r="A228" s="6">
        <f>SUMIF('Bigger Board'!D:D,D228,'Bigger Board'!A:A)</f>
        <v>224</v>
      </c>
      <c r="B228" s="6">
        <f>SUMIF('Bigger Board'!D:D,D228,'Bigger Board'!B:B)</f>
        <v>210</v>
      </c>
      <c r="C228" s="6">
        <f>SUMIF('Bigger Board'!D:D,D228,'Bigger Board'!C:C)</f>
        <v>230</v>
      </c>
      <c r="D228" s="7" t="s">
        <v>352</v>
      </c>
      <c r="E228" s="7" t="s">
        <v>259</v>
      </c>
      <c r="F228" s="6" t="s">
        <v>38</v>
      </c>
      <c r="G228" s="6">
        <f>SUMIF('Bigger Board'!D:D,D228,'Bigger Board'!G:G)</f>
        <v>19</v>
      </c>
      <c r="H228" s="8">
        <f>SUMIF('Bigger Board'!D:D,D228,'Bigger Board'!H:H)</f>
        <v>79.3</v>
      </c>
      <c r="I228" s="9"/>
      <c r="J228" s="8"/>
    </row>
    <row r="229">
      <c r="A229" s="6">
        <f>SUMIF('Bigger Board'!D:D,D229,'Bigger Board'!A:A)</f>
        <v>225</v>
      </c>
      <c r="B229" s="6">
        <f>SUMIF('Bigger Board'!D:D,D229,'Bigger Board'!B:B)</f>
        <v>248</v>
      </c>
      <c r="C229" s="6">
        <f>SUMIF('Bigger Board'!D:D,D229,'Bigger Board'!C:C)</f>
        <v>221</v>
      </c>
      <c r="D229" s="7" t="s">
        <v>353</v>
      </c>
      <c r="E229" s="7" t="s">
        <v>70</v>
      </c>
      <c r="F229" s="6" t="s">
        <v>54</v>
      </c>
      <c r="G229" s="6">
        <f>SUMIF('Bigger Board'!D:D,D229,'Bigger Board'!G:G)</f>
        <v>18</v>
      </c>
      <c r="H229" s="8">
        <f>SUMIF('Bigger Board'!D:D,D229,'Bigger Board'!H:H)</f>
        <v>101.4</v>
      </c>
      <c r="I229" s="9"/>
      <c r="J229" s="8"/>
    </row>
    <row r="230">
      <c r="A230" s="6">
        <f>SUMIF('Bigger Board'!D:D,D230,'Bigger Board'!A:A)</f>
        <v>226</v>
      </c>
      <c r="B230" s="6">
        <f>SUMIF('Bigger Board'!D:D,D230,'Bigger Board'!B:B)</f>
        <v>192</v>
      </c>
      <c r="C230" s="6">
        <f>SUMIF('Bigger Board'!D:D,D230,'Bigger Board'!C:C)</f>
        <v>236</v>
      </c>
      <c r="D230" s="7" t="s">
        <v>354</v>
      </c>
      <c r="E230" s="7" t="s">
        <v>146</v>
      </c>
      <c r="F230" s="6" t="s">
        <v>26</v>
      </c>
      <c r="G230" s="6">
        <f>SUMIF('Bigger Board'!D:D,D230,'Bigger Board'!G:G)</f>
        <v>17</v>
      </c>
      <c r="H230" s="8">
        <f>SUMIF('Bigger Board'!D:D,D230,'Bigger Board'!H:H)</f>
        <v>91.5</v>
      </c>
      <c r="I230" s="9">
        <v>150.0</v>
      </c>
      <c r="J230" s="8" t="s">
        <v>16</v>
      </c>
    </row>
    <row r="231">
      <c r="A231" s="6">
        <f>SUMIF('Bigger Board'!D:D,D231,'Bigger Board'!A:A)</f>
        <v>227</v>
      </c>
      <c r="B231" s="6">
        <f>SUMIF('Bigger Board'!D:D,D231,'Bigger Board'!B:B)</f>
        <v>269</v>
      </c>
      <c r="C231" s="6">
        <f>SUMIF('Bigger Board'!D:D,D231,'Bigger Board'!C:C)</f>
        <v>217</v>
      </c>
      <c r="D231" s="7" t="s">
        <v>355</v>
      </c>
      <c r="E231" s="7" t="s">
        <v>35</v>
      </c>
      <c r="F231" s="6" t="s">
        <v>234</v>
      </c>
      <c r="G231" s="6">
        <f>SUMIF('Bigger Board'!D:D,D231,'Bigger Board'!G:G)</f>
        <v>5</v>
      </c>
      <c r="H231" s="8">
        <f>SUMIF('Bigger Board'!D:D,D231,'Bigger Board'!H:H)</f>
        <v>87</v>
      </c>
      <c r="I231" s="9">
        <v>205.0</v>
      </c>
      <c r="J231" s="8" t="s">
        <v>96</v>
      </c>
    </row>
    <row r="232">
      <c r="A232" s="6">
        <f>SUMIF('Bigger Board'!D:D,D232,'Bigger Board'!A:A)</f>
        <v>228</v>
      </c>
      <c r="B232" s="6">
        <f>SUMIF('Bigger Board'!D:D,D232,'Bigger Board'!B:B)</f>
        <v>262</v>
      </c>
      <c r="C232" s="6">
        <f>SUMIF('Bigger Board'!D:D,D232,'Bigger Board'!C:C)</f>
        <v>226</v>
      </c>
      <c r="D232" s="7" t="s">
        <v>356</v>
      </c>
      <c r="E232" s="7" t="s">
        <v>35</v>
      </c>
      <c r="F232" s="6" t="s">
        <v>26</v>
      </c>
      <c r="G232" s="6">
        <f>SUMIF('Bigger Board'!D:D,D232,'Bigger Board'!G:G)</f>
        <v>18</v>
      </c>
      <c r="H232" s="8">
        <f>SUMIF('Bigger Board'!D:D,D232,'Bigger Board'!H:H)</f>
        <v>85.2</v>
      </c>
      <c r="I232" s="9">
        <v>244.0</v>
      </c>
      <c r="J232" s="8" t="s">
        <v>51</v>
      </c>
    </row>
    <row r="233">
      <c r="A233" s="6">
        <f>SUMIF('Bigger Board'!D:D,D233,'Bigger Board'!A:A)</f>
        <v>229</v>
      </c>
      <c r="B233" s="6">
        <f>SUMIF('Bigger Board'!D:D,D233,'Bigger Board'!B:B)</f>
        <v>198</v>
      </c>
      <c r="C233" s="6">
        <f>SUMIF('Bigger Board'!D:D,D233,'Bigger Board'!C:C)</f>
        <v>233</v>
      </c>
      <c r="D233" s="7" t="s">
        <v>357</v>
      </c>
      <c r="E233" s="7" t="s">
        <v>62</v>
      </c>
      <c r="F233" s="6" t="s">
        <v>40</v>
      </c>
      <c r="G233" s="6">
        <f>SUMIF('Bigger Board'!D:D,D233,'Bigger Board'!G:G)</f>
        <v>31</v>
      </c>
      <c r="H233" s="8">
        <f>SUMIF('Bigger Board'!D:D,D233,'Bigger Board'!H:H)</f>
        <v>94.6</v>
      </c>
      <c r="I233" s="9">
        <v>195.0</v>
      </c>
      <c r="J233" s="8" t="s">
        <v>16</v>
      </c>
    </row>
    <row r="234">
      <c r="A234" s="6">
        <f>SUMIF('Bigger Board'!D:D,D234,'Bigger Board'!A:A)</f>
        <v>230</v>
      </c>
      <c r="B234" s="6">
        <f>SUMIF('Bigger Board'!D:D,D234,'Bigger Board'!B:B)</f>
        <v>278</v>
      </c>
      <c r="C234" s="6">
        <f>SUMIF('Bigger Board'!D:D,D234,'Bigger Board'!C:C)</f>
        <v>218</v>
      </c>
      <c r="D234" s="7" t="s">
        <v>358</v>
      </c>
      <c r="E234" s="7" t="s">
        <v>223</v>
      </c>
      <c r="F234" s="6" t="s">
        <v>44</v>
      </c>
      <c r="G234" s="6">
        <f>SUMIF('Bigger Board'!D:D,D234,'Bigger Board'!G:G)</f>
        <v>26</v>
      </c>
      <c r="H234" s="8">
        <f>SUMIF('Bigger Board'!D:D,D234,'Bigger Board'!H:H)</f>
        <v>121.3</v>
      </c>
      <c r="I234" s="9"/>
      <c r="J234" s="8"/>
    </row>
    <row r="235">
      <c r="A235" s="6">
        <f>SUMIF('Bigger Board'!D:D,D235,'Bigger Board'!A:A)</f>
        <v>231</v>
      </c>
      <c r="B235" s="6">
        <f>SUMIF('Bigger Board'!D:D,D235,'Bigger Board'!B:B)</f>
        <v>265</v>
      </c>
      <c r="C235" s="6">
        <f>SUMIF('Bigger Board'!D:D,D235,'Bigger Board'!C:C)</f>
        <v>227</v>
      </c>
      <c r="D235" s="7" t="s">
        <v>359</v>
      </c>
      <c r="E235" s="7" t="s">
        <v>185</v>
      </c>
      <c r="F235" s="6" t="s">
        <v>32</v>
      </c>
      <c r="G235" s="6">
        <f>SUMIF('Bigger Board'!D:D,D235,'Bigger Board'!G:G)</f>
        <v>25</v>
      </c>
      <c r="H235" s="8">
        <f>SUMIF('Bigger Board'!D:D,D235,'Bigger Board'!H:H)</f>
        <v>74.3</v>
      </c>
      <c r="I235" s="9"/>
      <c r="J235" s="8"/>
    </row>
    <row r="236">
      <c r="A236" s="6">
        <f>SUMIF('Bigger Board'!D:D,D236,'Bigger Board'!A:A)</f>
        <v>232</v>
      </c>
      <c r="B236" s="6">
        <f>SUMIF('Bigger Board'!D:D,D236,'Bigger Board'!B:B)</f>
        <v>213</v>
      </c>
      <c r="C236" s="6">
        <f>SUMIF('Bigger Board'!D:D,D236,'Bigger Board'!C:C)</f>
        <v>232</v>
      </c>
      <c r="D236" s="7" t="s">
        <v>360</v>
      </c>
      <c r="E236" s="7" t="s">
        <v>87</v>
      </c>
      <c r="F236" s="6" t="s">
        <v>54</v>
      </c>
      <c r="G236" s="6">
        <f>SUMIF('Bigger Board'!D:D,D236,'Bigger Board'!G:G)</f>
        <v>19</v>
      </c>
      <c r="H236" s="8">
        <f>SUMIF('Bigger Board'!D:D,D236,'Bigger Board'!H:H)</f>
        <v>82.5</v>
      </c>
      <c r="I236" s="9">
        <v>127.0</v>
      </c>
      <c r="J236" s="8" t="s">
        <v>173</v>
      </c>
    </row>
    <row r="237">
      <c r="A237" s="6">
        <f>SUMIF('Bigger Board'!D:D,D237,'Bigger Board'!A:A)</f>
        <v>233</v>
      </c>
      <c r="B237" s="6">
        <f>SUMIF('Bigger Board'!D:D,D237,'Bigger Board'!B:B)</f>
        <v>195</v>
      </c>
      <c r="C237" s="6">
        <f>SUMIF('Bigger Board'!D:D,D237,'Bigger Board'!C:C)</f>
        <v>250</v>
      </c>
      <c r="D237" s="7" t="s">
        <v>361</v>
      </c>
      <c r="E237" s="7" t="s">
        <v>67</v>
      </c>
      <c r="F237" s="6" t="s">
        <v>40</v>
      </c>
      <c r="G237" s="6">
        <f>SUMIF('Bigger Board'!D:D,D237,'Bigger Board'!G:G)</f>
        <v>32</v>
      </c>
      <c r="H237" s="8">
        <f>SUMIF('Bigger Board'!D:D,D237,'Bigger Board'!H:H)</f>
        <v>80.2</v>
      </c>
      <c r="I237" s="9">
        <v>140.0</v>
      </c>
      <c r="J237" s="8" t="s">
        <v>105</v>
      </c>
    </row>
    <row r="238">
      <c r="A238" s="6">
        <f>SUMIF('Bigger Board'!D:D,D238,'Bigger Board'!A:A)</f>
        <v>234</v>
      </c>
      <c r="B238" s="6">
        <f>SUMIF('Bigger Board'!D:D,D238,'Bigger Board'!B:B)</f>
        <v>252</v>
      </c>
      <c r="C238" s="6">
        <f>SUMIF('Bigger Board'!D:D,D238,'Bigger Board'!C:C)</f>
        <v>231</v>
      </c>
      <c r="D238" s="7" t="s">
        <v>362</v>
      </c>
      <c r="E238" s="7" t="s">
        <v>124</v>
      </c>
      <c r="F238" s="6" t="s">
        <v>19</v>
      </c>
      <c r="G238" s="6">
        <f>SUMIF('Bigger Board'!D:D,D238,'Bigger Board'!G:G)</f>
        <v>21</v>
      </c>
      <c r="H238" s="8">
        <f>SUMIF('Bigger Board'!D:D,D238,'Bigger Board'!H:H)</f>
        <v>78.8</v>
      </c>
      <c r="I238" s="9">
        <v>134.0</v>
      </c>
      <c r="J238" s="8" t="s">
        <v>76</v>
      </c>
    </row>
    <row r="239">
      <c r="A239" s="6">
        <f>SUMIF('Bigger Board'!D:D,D239,'Bigger Board'!A:A)</f>
        <v>235</v>
      </c>
      <c r="B239" s="6">
        <f>SUMIF('Bigger Board'!D:D,D239,'Bigger Board'!B:B)</f>
        <v>221</v>
      </c>
      <c r="C239" s="6">
        <f>SUMIF('Bigger Board'!D:D,D239,'Bigger Board'!C:C)</f>
        <v>238</v>
      </c>
      <c r="D239" s="7" t="s">
        <v>363</v>
      </c>
      <c r="E239" s="7" t="s">
        <v>107</v>
      </c>
      <c r="F239" s="6" t="s">
        <v>32</v>
      </c>
      <c r="G239" s="6">
        <f>SUMIF('Bigger Board'!D:D,D239,'Bigger Board'!G:G)</f>
        <v>26</v>
      </c>
      <c r="H239" s="8">
        <f>SUMIF('Bigger Board'!D:D,D239,'Bigger Board'!H:H)</f>
        <v>79.7</v>
      </c>
      <c r="I239" s="9">
        <v>156.0</v>
      </c>
      <c r="J239" s="8" t="s">
        <v>103</v>
      </c>
    </row>
    <row r="240">
      <c r="A240" s="6">
        <f>SUMIF('Bigger Board'!D:D,D240,'Bigger Board'!A:A)</f>
        <v>236</v>
      </c>
      <c r="B240" s="6">
        <f>SUMIF('Bigger Board'!D:D,D240,'Bigger Board'!B:B)</f>
        <v>179</v>
      </c>
      <c r="C240" s="6">
        <f>SUMIF('Bigger Board'!D:D,D240,'Bigger Board'!C:C)</f>
        <v>254</v>
      </c>
      <c r="D240" s="7" t="s">
        <v>364</v>
      </c>
      <c r="E240" s="7" t="s">
        <v>185</v>
      </c>
      <c r="F240" s="6" t="s">
        <v>32</v>
      </c>
      <c r="G240" s="6">
        <f>SUMIF('Bigger Board'!D:D,D240,'Bigger Board'!G:G)</f>
        <v>27</v>
      </c>
      <c r="H240" s="8">
        <f>SUMIF('Bigger Board'!D:D,D240,'Bigger Board'!H:H)</f>
        <v>100.1</v>
      </c>
      <c r="I240" s="9">
        <v>119.0</v>
      </c>
      <c r="J240" s="8" t="s">
        <v>115</v>
      </c>
    </row>
    <row r="241">
      <c r="A241" s="6">
        <f>SUMIF('Bigger Board'!D:D,D241,'Bigger Board'!A:A)</f>
        <v>237</v>
      </c>
      <c r="B241" s="6">
        <f>SUMIF('Bigger Board'!D:D,D241,'Bigger Board'!B:B)</f>
        <v>215</v>
      </c>
      <c r="C241" s="6">
        <f>SUMIF('Bigger Board'!D:D,D241,'Bigger Board'!C:C)</f>
        <v>241</v>
      </c>
      <c r="D241" s="7" t="s">
        <v>365</v>
      </c>
      <c r="E241" s="7" t="s">
        <v>208</v>
      </c>
      <c r="F241" s="6" t="s">
        <v>44</v>
      </c>
      <c r="G241" s="6">
        <f>SUMIF('Bigger Board'!D:D,D241,'Bigger Board'!G:G)</f>
        <v>27</v>
      </c>
      <c r="H241" s="8">
        <f>SUMIF('Bigger Board'!D:D,D241,'Bigger Board'!H:H)</f>
        <v>73.9</v>
      </c>
      <c r="I241" s="9"/>
      <c r="J241" s="8"/>
    </row>
    <row r="242">
      <c r="A242" s="6">
        <f>SUMIF('Bigger Board'!D:D,D242,'Bigger Board'!A:A)</f>
        <v>238</v>
      </c>
      <c r="B242" s="6">
        <f>SUMIF('Bigger Board'!D:D,D242,'Bigger Board'!B:B)</f>
        <v>194</v>
      </c>
      <c r="C242" s="6">
        <f>SUMIF('Bigger Board'!D:D,D242,'Bigger Board'!C:C)</f>
        <v>239</v>
      </c>
      <c r="D242" s="7" t="s">
        <v>366</v>
      </c>
      <c r="E242" s="7" t="s">
        <v>47</v>
      </c>
      <c r="F242" s="6" t="s">
        <v>32</v>
      </c>
      <c r="G242" s="6">
        <f>SUMIF('Bigger Board'!D:D,D242,'Bigger Board'!G:G)</f>
        <v>28</v>
      </c>
      <c r="H242" s="8">
        <f>SUMIF('Bigger Board'!D:D,D242,'Bigger Board'!H:H)</f>
        <v>77.5</v>
      </c>
      <c r="I242" s="9"/>
      <c r="J242" s="8"/>
    </row>
    <row r="243">
      <c r="A243" s="6">
        <f>SUMIF('Bigger Board'!D:D,D243,'Bigger Board'!A:A)</f>
        <v>239</v>
      </c>
      <c r="B243" s="6">
        <f>SUMIF('Bigger Board'!D:D,D243,'Bigger Board'!B:B)</f>
        <v>222</v>
      </c>
      <c r="C243" s="6">
        <f>SUMIF('Bigger Board'!D:D,D243,'Bigger Board'!C:C)</f>
        <v>237</v>
      </c>
      <c r="D243" s="7" t="s">
        <v>367</v>
      </c>
      <c r="E243" s="7" t="s">
        <v>107</v>
      </c>
      <c r="F243" s="6" t="s">
        <v>40</v>
      </c>
      <c r="G243" s="6">
        <f>SUMIF('Bigger Board'!D:D,D243,'Bigger Board'!G:G)</f>
        <v>33</v>
      </c>
      <c r="H243" s="8">
        <f>SUMIF('Bigger Board'!D:D,D243,'Bigger Board'!H:H)</f>
        <v>81.1</v>
      </c>
      <c r="I243" s="9"/>
      <c r="J243" s="8"/>
    </row>
    <row r="244">
      <c r="A244" s="6">
        <f>SUMIF('Bigger Board'!D:D,D244,'Bigger Board'!A:A)</f>
        <v>240</v>
      </c>
      <c r="B244" s="6">
        <f>SUMIF('Bigger Board'!D:D,D244,'Bigger Board'!B:B)</f>
        <v>240</v>
      </c>
      <c r="C244" s="6">
        <f>SUMIF('Bigger Board'!D:D,D244,'Bigger Board'!C:C)</f>
        <v>242</v>
      </c>
      <c r="D244" s="7" t="s">
        <v>368</v>
      </c>
      <c r="E244" s="7" t="s">
        <v>14</v>
      </c>
      <c r="F244" s="6" t="s">
        <v>63</v>
      </c>
      <c r="G244" s="6">
        <f>SUMIF('Bigger Board'!D:D,D244,'Bigger Board'!G:G)</f>
        <v>19</v>
      </c>
      <c r="H244" s="8">
        <f>SUMIF('Bigger Board'!D:D,D244,'Bigger Board'!H:H)</f>
        <v>75.7</v>
      </c>
      <c r="I244" s="9">
        <v>169.0</v>
      </c>
      <c r="J244" s="8" t="s">
        <v>99</v>
      </c>
    </row>
    <row r="245">
      <c r="A245" s="6">
        <f>SUMIF('Bigger Board'!D:D,D245,'Bigger Board'!A:A)</f>
        <v>241</v>
      </c>
      <c r="B245" s="6">
        <f>SUMIF('Bigger Board'!D:D,D245,'Bigger Board'!B:B)</f>
        <v>247</v>
      </c>
      <c r="C245" s="6">
        <f>SUMIF('Bigger Board'!D:D,D245,'Bigger Board'!C:C)</f>
        <v>234</v>
      </c>
      <c r="D245" s="7" t="s">
        <v>369</v>
      </c>
      <c r="E245" s="7" t="s">
        <v>370</v>
      </c>
      <c r="F245" s="6" t="s">
        <v>63</v>
      </c>
      <c r="G245" s="6">
        <f>SUMIF('Bigger Board'!D:D,D245,'Bigger Board'!G:G)</f>
        <v>20</v>
      </c>
      <c r="H245" s="8">
        <f>SUMIF('Bigger Board'!D:D,D245,'Bigger Board'!H:H)</f>
        <v>73.4</v>
      </c>
      <c r="I245" s="9">
        <v>133.0</v>
      </c>
      <c r="J245" s="8" t="s">
        <v>55</v>
      </c>
    </row>
    <row r="246">
      <c r="A246" s="6">
        <f>SUMIF('Bigger Board'!D:D,D246,'Bigger Board'!A:A)</f>
        <v>242</v>
      </c>
      <c r="B246" s="6">
        <f>SUMIF('Bigger Board'!D:D,D246,'Bigger Board'!B:B)</f>
        <v>239</v>
      </c>
      <c r="C246" s="6">
        <f>SUMIF('Bigger Board'!D:D,D246,'Bigger Board'!C:C)</f>
        <v>243</v>
      </c>
      <c r="D246" s="7" t="s">
        <v>371</v>
      </c>
      <c r="E246" s="7" t="s">
        <v>130</v>
      </c>
      <c r="F246" s="6" t="s">
        <v>15</v>
      </c>
      <c r="G246" s="6">
        <f>SUMIF('Bigger Board'!D:D,D246,'Bigger Board'!G:G)</f>
        <v>10</v>
      </c>
      <c r="H246" s="8">
        <f>SUMIF('Bigger Board'!D:D,D246,'Bigger Board'!H:H)</f>
        <v>78.8</v>
      </c>
      <c r="I246" s="9"/>
      <c r="J246" s="8"/>
    </row>
    <row r="247">
      <c r="A247" s="6">
        <f>SUMIF('Bigger Board'!D:D,D247,'Bigger Board'!A:A)</f>
        <v>243</v>
      </c>
      <c r="B247" s="6">
        <f>SUMIF('Bigger Board'!D:D,D247,'Bigger Board'!B:B)</f>
        <v>235</v>
      </c>
      <c r="C247" s="6">
        <f>SUMIF('Bigger Board'!D:D,D247,'Bigger Board'!C:C)</f>
        <v>244</v>
      </c>
      <c r="D247" s="7" t="s">
        <v>372</v>
      </c>
      <c r="E247" s="7" t="s">
        <v>166</v>
      </c>
      <c r="F247" s="6" t="s">
        <v>54</v>
      </c>
      <c r="G247" s="6">
        <f>SUMIF('Bigger Board'!D:D,D247,'Bigger Board'!G:G)</f>
        <v>20</v>
      </c>
      <c r="H247" s="8">
        <f>SUMIF('Bigger Board'!D:D,D247,'Bigger Board'!H:H)</f>
        <v>74.8</v>
      </c>
      <c r="I247" s="9">
        <v>142.0</v>
      </c>
      <c r="J247" s="8" t="s">
        <v>41</v>
      </c>
    </row>
    <row r="248">
      <c r="A248" s="6">
        <f>SUMIF('Bigger Board'!D:D,D248,'Bigger Board'!A:A)</f>
        <v>244</v>
      </c>
      <c r="B248" s="6">
        <f>SUMIF('Bigger Board'!D:D,D248,'Bigger Board'!B:B)</f>
        <v>226</v>
      </c>
      <c r="C248" s="6">
        <f>SUMIF('Bigger Board'!D:D,D248,'Bigger Board'!C:C)</f>
        <v>235</v>
      </c>
      <c r="D248" s="7" t="s">
        <v>373</v>
      </c>
      <c r="E248" s="7" t="s">
        <v>144</v>
      </c>
      <c r="F248" s="6" t="s">
        <v>234</v>
      </c>
      <c r="G248" s="6">
        <f>SUMIF('Bigger Board'!D:D,D248,'Bigger Board'!G:G)</f>
        <v>6</v>
      </c>
      <c r="H248" s="8">
        <f>SUMIF('Bigger Board'!D:D,D248,'Bigger Board'!H:H)</f>
        <v>103.7</v>
      </c>
      <c r="I248" s="9">
        <v>213.0</v>
      </c>
      <c r="J248" s="8" t="s">
        <v>65</v>
      </c>
    </row>
    <row r="249">
      <c r="A249" s="6">
        <f>SUMIF('Bigger Board'!D:D,D249,'Bigger Board'!A:A)</f>
        <v>245</v>
      </c>
      <c r="B249" s="6">
        <f>SUMIF('Bigger Board'!D:D,D249,'Bigger Board'!B:B)</f>
        <v>267</v>
      </c>
      <c r="C249" s="6">
        <f>SUMIF('Bigger Board'!D:D,D249,'Bigger Board'!C:C)</f>
        <v>248</v>
      </c>
      <c r="D249" s="7" t="s">
        <v>374</v>
      </c>
      <c r="E249" s="7" t="s">
        <v>124</v>
      </c>
      <c r="F249" s="6" t="s">
        <v>23</v>
      </c>
      <c r="G249" s="6">
        <f>SUMIF('Bigger Board'!D:D,D249,'Bigger Board'!G:G)</f>
        <v>16</v>
      </c>
      <c r="H249" s="8">
        <f>SUMIF('Bigger Board'!D:D,D249,'Bigger Board'!H:H)</f>
        <v>88.3</v>
      </c>
      <c r="I249" s="9"/>
      <c r="J249" s="8"/>
    </row>
    <row r="250">
      <c r="A250" s="6">
        <f>SUMIF('Bigger Board'!D:D,D250,'Bigger Board'!A:A)</f>
        <v>246</v>
      </c>
      <c r="B250" s="6">
        <f>SUMIF('Bigger Board'!D:D,D250,'Bigger Board'!B:B)</f>
        <v>184</v>
      </c>
      <c r="C250" s="6">
        <f>SUMIF('Bigger Board'!D:D,D250,'Bigger Board'!C:C)</f>
        <v>260</v>
      </c>
      <c r="D250" s="7" t="s">
        <v>375</v>
      </c>
      <c r="E250" s="7" t="s">
        <v>62</v>
      </c>
      <c r="F250" s="6" t="s">
        <v>54</v>
      </c>
      <c r="G250" s="6">
        <f>SUMIF('Bigger Board'!D:D,D250,'Bigger Board'!G:G)</f>
        <v>21</v>
      </c>
      <c r="H250" s="8">
        <f>SUMIF('Bigger Board'!D:D,D250,'Bigger Board'!H:H)</f>
        <v>82</v>
      </c>
      <c r="I250" s="9">
        <v>206.0</v>
      </c>
      <c r="J250" s="8" t="s">
        <v>78</v>
      </c>
    </row>
    <row r="251">
      <c r="A251" s="6">
        <f>SUMIF('Bigger Board'!D:D,D251,'Bigger Board'!A:A)</f>
        <v>247</v>
      </c>
      <c r="B251" s="6">
        <f>SUMIF('Bigger Board'!D:D,D251,'Bigger Board'!B:B)</f>
        <v>260</v>
      </c>
      <c r="C251" s="6">
        <f>SUMIF('Bigger Board'!D:D,D251,'Bigger Board'!C:C)</f>
        <v>245</v>
      </c>
      <c r="D251" s="7" t="s">
        <v>376</v>
      </c>
      <c r="E251" s="7" t="s">
        <v>50</v>
      </c>
      <c r="F251" s="6" t="s">
        <v>19</v>
      </c>
      <c r="G251" s="6">
        <f>SUMIF('Bigger Board'!D:D,D251,'Bigger Board'!G:G)</f>
        <v>22</v>
      </c>
      <c r="H251" s="8">
        <f>SUMIF('Bigger Board'!D:D,D251,'Bigger Board'!H:H)</f>
        <v>83.8</v>
      </c>
      <c r="I251" s="9"/>
      <c r="J251" s="8"/>
    </row>
    <row r="252">
      <c r="A252" s="6">
        <f>SUMIF('Bigger Board'!D:D,D252,'Bigger Board'!A:A)</f>
        <v>248</v>
      </c>
      <c r="B252" s="6">
        <f>SUMIF('Bigger Board'!D:D,D252,'Bigger Board'!B:B)</f>
        <v>218</v>
      </c>
      <c r="C252" s="6">
        <f>SUMIF('Bigger Board'!D:D,D252,'Bigger Board'!C:C)</f>
        <v>258</v>
      </c>
      <c r="D252" s="7" t="s">
        <v>377</v>
      </c>
      <c r="E252" s="7" t="s">
        <v>70</v>
      </c>
      <c r="F252" s="6" t="s">
        <v>23</v>
      </c>
      <c r="G252" s="6">
        <f>SUMIF('Bigger Board'!D:D,D252,'Bigger Board'!G:G)</f>
        <v>17</v>
      </c>
      <c r="H252" s="8">
        <f>SUMIF('Bigger Board'!D:D,D252,'Bigger Board'!H:H)</f>
        <v>74.3</v>
      </c>
      <c r="I252" s="9">
        <v>245.0</v>
      </c>
      <c r="J252" s="8" t="s">
        <v>89</v>
      </c>
    </row>
    <row r="253">
      <c r="A253" s="6">
        <f>SUMIF('Bigger Board'!D:D,D253,'Bigger Board'!A:A)</f>
        <v>249</v>
      </c>
      <c r="B253" s="6">
        <f>SUMIF('Bigger Board'!D:D,D253,'Bigger Board'!B:B)</f>
        <v>228</v>
      </c>
      <c r="C253" s="6">
        <f>SUMIF('Bigger Board'!D:D,D253,'Bigger Board'!C:C)</f>
        <v>253</v>
      </c>
      <c r="D253" s="7" t="s">
        <v>378</v>
      </c>
      <c r="E253" s="7" t="s">
        <v>43</v>
      </c>
      <c r="F253" s="6" t="s">
        <v>40</v>
      </c>
      <c r="G253" s="6">
        <f>SUMIF('Bigger Board'!D:D,D253,'Bigger Board'!G:G)</f>
        <v>34</v>
      </c>
      <c r="H253" s="8">
        <f>SUMIF('Bigger Board'!D:D,D253,'Bigger Board'!H:H)</f>
        <v>70.7</v>
      </c>
      <c r="I253" s="9">
        <v>190.0</v>
      </c>
      <c r="J253" s="8" t="s">
        <v>60</v>
      </c>
    </row>
    <row r="254">
      <c r="A254" s="6">
        <f>SUMIF('Bigger Board'!D:D,D254,'Bigger Board'!A:A)</f>
        <v>250</v>
      </c>
      <c r="B254" s="6">
        <f>SUMIF('Bigger Board'!D:D,D254,'Bigger Board'!B:B)</f>
        <v>261</v>
      </c>
      <c r="C254" s="6">
        <f>SUMIF('Bigger Board'!D:D,D254,'Bigger Board'!C:C)</f>
        <v>246</v>
      </c>
      <c r="D254" s="7" t="s">
        <v>379</v>
      </c>
      <c r="E254" s="7" t="s">
        <v>245</v>
      </c>
      <c r="F254" s="6" t="s">
        <v>32</v>
      </c>
      <c r="G254" s="6">
        <f>SUMIF('Bigger Board'!D:D,D254,'Bigger Board'!G:G)</f>
        <v>29</v>
      </c>
      <c r="H254" s="8">
        <f>SUMIF('Bigger Board'!D:D,D254,'Bigger Board'!H:H)</f>
        <v>71.6</v>
      </c>
      <c r="I254" s="9">
        <v>247.0</v>
      </c>
      <c r="J254" s="8" t="s">
        <v>89</v>
      </c>
    </row>
    <row r="255">
      <c r="A255" s="6">
        <f>SUMIF('Bigger Board'!D:D,D255,'Bigger Board'!A:A)</f>
        <v>251</v>
      </c>
      <c r="B255" s="6">
        <f>SUMIF('Bigger Board'!D:D,D255,'Bigger Board'!B:B)</f>
        <v>272</v>
      </c>
      <c r="C255" s="6">
        <f>SUMIF('Bigger Board'!D:D,D255,'Bigger Board'!C:C)</f>
        <v>252</v>
      </c>
      <c r="D255" s="7" t="s">
        <v>380</v>
      </c>
      <c r="E255" s="7" t="s">
        <v>381</v>
      </c>
      <c r="F255" s="6" t="s">
        <v>23</v>
      </c>
      <c r="G255" s="6">
        <f>SUMIF('Bigger Board'!D:D,D255,'Bigger Board'!G:G)</f>
        <v>18</v>
      </c>
      <c r="H255" s="8">
        <f>SUMIF('Bigger Board'!D:D,D255,'Bigger Board'!H:H)</f>
        <v>89.7</v>
      </c>
      <c r="I255" s="9"/>
      <c r="J255" s="8"/>
    </row>
    <row r="256">
      <c r="A256" s="6">
        <f>SUMIF('Bigger Board'!D:D,D256,'Bigger Board'!A:A)</f>
        <v>252</v>
      </c>
      <c r="B256" s="6">
        <f>SUMIF('Bigger Board'!D:D,D256,'Bigger Board'!B:B)</f>
        <v>225</v>
      </c>
      <c r="C256" s="6">
        <f>SUMIF('Bigger Board'!D:D,D256,'Bigger Board'!C:C)</f>
        <v>256</v>
      </c>
      <c r="D256" s="7" t="s">
        <v>382</v>
      </c>
      <c r="E256" s="7" t="s">
        <v>166</v>
      </c>
      <c r="F256" s="6" t="s">
        <v>85</v>
      </c>
      <c r="G256" s="6">
        <f>SUMIF('Bigger Board'!D:D,D256,'Bigger Board'!G:G)</f>
        <v>10</v>
      </c>
      <c r="H256" s="8">
        <f>SUMIF('Bigger Board'!D:D,D256,'Bigger Board'!H:H)</f>
        <v>69.8</v>
      </c>
      <c r="I256" s="9"/>
      <c r="J256" s="8"/>
    </row>
    <row r="257">
      <c r="A257" s="6">
        <f>SUMIF('Bigger Board'!D:D,D257,'Bigger Board'!A:A)</f>
        <v>253</v>
      </c>
      <c r="B257" s="6">
        <f>SUMIF('Bigger Board'!D:D,D257,'Bigger Board'!B:B)</f>
        <v>236</v>
      </c>
      <c r="C257" s="6">
        <f>SUMIF('Bigger Board'!D:D,D257,'Bigger Board'!C:C)</f>
        <v>257</v>
      </c>
      <c r="D257" s="7" t="s">
        <v>383</v>
      </c>
      <c r="E257" s="7" t="s">
        <v>153</v>
      </c>
      <c r="F257" s="6" t="s">
        <v>40</v>
      </c>
      <c r="G257" s="6">
        <f>SUMIF('Bigger Board'!D:D,D257,'Bigger Board'!G:G)</f>
        <v>35</v>
      </c>
      <c r="H257" s="8">
        <f>SUMIF('Bigger Board'!D:D,D257,'Bigger Board'!H:H)</f>
        <v>85.2</v>
      </c>
      <c r="I257" s="9">
        <v>121.0</v>
      </c>
      <c r="J257" s="8" t="s">
        <v>99</v>
      </c>
    </row>
    <row r="258">
      <c r="A258" s="6">
        <f>SUMIF('Bigger Board'!D:D,D258,'Bigger Board'!A:A)</f>
        <v>254</v>
      </c>
      <c r="B258" s="6">
        <f>SUMIF('Bigger Board'!D:D,D258,'Bigger Board'!B:B)</f>
        <v>245</v>
      </c>
      <c r="C258" s="6">
        <f>SUMIF('Bigger Board'!D:D,D258,'Bigger Board'!C:C)</f>
        <v>261</v>
      </c>
      <c r="D258" s="7" t="s">
        <v>384</v>
      </c>
      <c r="E258" s="7" t="s">
        <v>223</v>
      </c>
      <c r="F258" s="6" t="s">
        <v>85</v>
      </c>
      <c r="G258" s="6">
        <f>SUMIF('Bigger Board'!D:D,D258,'Bigger Board'!G:G)</f>
        <v>11</v>
      </c>
      <c r="H258" s="8">
        <f>SUMIF('Bigger Board'!D:D,D258,'Bigger Board'!H:H)</f>
        <v>68</v>
      </c>
      <c r="I258" s="9">
        <v>229.0</v>
      </c>
      <c r="J258" s="8" t="s">
        <v>16</v>
      </c>
    </row>
    <row r="259">
      <c r="A259" s="6">
        <f>SUMIF('Bigger Board'!D:D,D259,'Bigger Board'!A:A)</f>
        <v>255</v>
      </c>
      <c r="B259" s="6">
        <f>SUMIF('Bigger Board'!D:D,D259,'Bigger Board'!B:B)</f>
        <v>290</v>
      </c>
      <c r="C259" s="6">
        <f>SUMIF('Bigger Board'!D:D,D259,'Bigger Board'!C:C)</f>
        <v>249</v>
      </c>
      <c r="D259" s="7" t="s">
        <v>385</v>
      </c>
      <c r="E259" s="7" t="s">
        <v>153</v>
      </c>
      <c r="F259" s="6" t="s">
        <v>26</v>
      </c>
      <c r="G259" s="6">
        <f>SUMIF('Bigger Board'!D:D,D259,'Bigger Board'!G:G)</f>
        <v>19</v>
      </c>
      <c r="H259" s="8">
        <f>SUMIF('Bigger Board'!D:D,D259,'Bigger Board'!H:H)</f>
        <v>69.3</v>
      </c>
      <c r="I259" s="9"/>
      <c r="J259" s="8"/>
    </row>
    <row r="260">
      <c r="A260" s="6">
        <f>SUMIF('Bigger Board'!D:D,D260,'Bigger Board'!A:A)</f>
        <v>256</v>
      </c>
      <c r="B260" s="6">
        <f>SUMIF('Bigger Board'!D:D,D260,'Bigger Board'!B:B)</f>
        <v>302</v>
      </c>
      <c r="C260" s="6">
        <f>SUMIF('Bigger Board'!D:D,D260,'Bigger Board'!C:C)</f>
        <v>240</v>
      </c>
      <c r="D260" s="7" t="s">
        <v>386</v>
      </c>
      <c r="E260" s="7" t="s">
        <v>43</v>
      </c>
      <c r="F260" s="6" t="s">
        <v>40</v>
      </c>
      <c r="G260" s="6">
        <f>SUMIF('Bigger Board'!D:D,D260,'Bigger Board'!G:G)</f>
        <v>36</v>
      </c>
      <c r="H260" s="8">
        <f>SUMIF('Bigger Board'!D:D,D260,'Bigger Board'!H:H)</f>
        <v>81.6</v>
      </c>
      <c r="I260" s="9"/>
      <c r="J260" s="8"/>
    </row>
    <row r="261">
      <c r="A261" s="6">
        <f>SUMIF('Bigger Board'!D:D,D261,'Bigger Board'!A:A)</f>
        <v>257</v>
      </c>
      <c r="B261" s="6">
        <f>SUMIF('Bigger Board'!D:D,D261,'Bigger Board'!B:B)</f>
        <v>314</v>
      </c>
      <c r="C261" s="6">
        <f>SUMIF('Bigger Board'!D:D,D261,'Bigger Board'!C:C)</f>
        <v>251</v>
      </c>
      <c r="D261" s="7" t="s">
        <v>387</v>
      </c>
      <c r="E261" s="7" t="s">
        <v>388</v>
      </c>
      <c r="F261" s="6" t="s">
        <v>40</v>
      </c>
      <c r="G261" s="6">
        <f>SUMIF('Bigger Board'!D:D,D261,'Bigger Board'!G:G)</f>
        <v>37</v>
      </c>
      <c r="H261" s="8">
        <f>SUMIF('Bigger Board'!D:D,D261,'Bigger Board'!H:H)</f>
        <v>83.8</v>
      </c>
      <c r="I261" s="9"/>
      <c r="J261" s="8"/>
    </row>
    <row r="262">
      <c r="A262" s="6">
        <f>SUMIF('Bigger Board'!D:D,D262,'Bigger Board'!A:A)</f>
        <v>258</v>
      </c>
      <c r="B262" s="6">
        <f>SUMIF('Bigger Board'!D:D,D262,'Bigger Board'!B:B)</f>
        <v>244</v>
      </c>
      <c r="C262" s="6">
        <f>SUMIF('Bigger Board'!D:D,D262,'Bigger Board'!C:C)</f>
        <v>255</v>
      </c>
      <c r="D262" s="7" t="s">
        <v>389</v>
      </c>
      <c r="E262" s="7" t="s">
        <v>204</v>
      </c>
      <c r="F262" s="6" t="s">
        <v>26</v>
      </c>
      <c r="G262" s="6">
        <f>SUMIF('Bigger Board'!D:D,D262,'Bigger Board'!G:G)</f>
        <v>20</v>
      </c>
      <c r="H262" s="8">
        <f>SUMIF('Bigger Board'!D:D,D262,'Bigger Board'!H:H)</f>
        <v>70.7</v>
      </c>
      <c r="I262" s="9"/>
      <c r="J262" s="8"/>
    </row>
    <row r="263">
      <c r="A263" s="6">
        <f>SUMIF('Bigger Board'!D:D,D263,'Bigger Board'!A:A)</f>
        <v>259</v>
      </c>
      <c r="B263" s="6">
        <f>SUMIF('Bigger Board'!D:D,D263,'Bigger Board'!B:B)</f>
        <v>233</v>
      </c>
      <c r="C263" s="6">
        <f>SUMIF('Bigger Board'!D:D,D263,'Bigger Board'!C:C)</f>
        <v>262</v>
      </c>
      <c r="D263" s="7" t="s">
        <v>390</v>
      </c>
      <c r="E263" s="7" t="s">
        <v>57</v>
      </c>
      <c r="F263" s="6" t="s">
        <v>91</v>
      </c>
      <c r="G263" s="6">
        <f>SUMIF('Bigger Board'!D:D,D263,'Bigger Board'!G:G)</f>
        <v>9</v>
      </c>
      <c r="H263" s="8">
        <f>SUMIF('Bigger Board'!D:D,D263,'Bigger Board'!H:H)</f>
        <v>77.9</v>
      </c>
      <c r="I263" s="9"/>
      <c r="J263" s="8"/>
    </row>
    <row r="264">
      <c r="A264" s="6">
        <f>SUMIF('Bigger Board'!D:D,D264,'Bigger Board'!A:A)</f>
        <v>260</v>
      </c>
      <c r="B264" s="6">
        <f>SUMIF('Bigger Board'!D:D,D264,'Bigger Board'!B:B)</f>
        <v>281</v>
      </c>
      <c r="C264" s="6">
        <f>SUMIF('Bigger Board'!D:D,D264,'Bigger Board'!C:C)</f>
        <v>259</v>
      </c>
      <c r="D264" s="7" t="s">
        <v>391</v>
      </c>
      <c r="E264" s="7" t="s">
        <v>82</v>
      </c>
      <c r="F264" s="6" t="s">
        <v>44</v>
      </c>
      <c r="G264" s="6">
        <f>SUMIF('Bigger Board'!D:D,D264,'Bigger Board'!G:G)</f>
        <v>28</v>
      </c>
      <c r="H264" s="8">
        <f>SUMIF('Bigger Board'!D:D,D264,'Bigger Board'!H:H)</f>
        <v>71.1</v>
      </c>
      <c r="I264" s="9">
        <v>236.0</v>
      </c>
      <c r="J264" s="8" t="s">
        <v>135</v>
      </c>
    </row>
    <row r="265">
      <c r="A265" s="6">
        <f>SUMIF('Bigger Board'!D:D,D265,'Bigger Board'!A:A)</f>
        <v>261</v>
      </c>
      <c r="B265" s="6">
        <f>SUMIF('Bigger Board'!D:D,D265,'Bigger Board'!B:B)</f>
        <v>321</v>
      </c>
      <c r="C265" s="6">
        <f>SUMIF('Bigger Board'!D:D,D265,'Bigger Board'!C:C)</f>
        <v>247</v>
      </c>
      <c r="D265" s="7" t="s">
        <v>392</v>
      </c>
      <c r="E265" s="7" t="s">
        <v>312</v>
      </c>
      <c r="F265" s="6" t="s">
        <v>40</v>
      </c>
      <c r="G265" s="6">
        <f>SUMIF('Bigger Board'!D:D,D265,'Bigger Board'!G:G)</f>
        <v>38</v>
      </c>
      <c r="H265" s="8">
        <f>SUMIF('Bigger Board'!D:D,D265,'Bigger Board'!H:H)</f>
        <v>65.7</v>
      </c>
      <c r="I265" s="9"/>
      <c r="J265" s="8"/>
    </row>
    <row r="266">
      <c r="A266" s="6">
        <f>SUMIF('Bigger Board'!D:D,D266,'Bigger Board'!A:A)</f>
        <v>262</v>
      </c>
      <c r="B266" s="6">
        <f>SUMIF('Bigger Board'!D:D,D266,'Bigger Board'!B:B)</f>
        <v>243</v>
      </c>
      <c r="C266" s="6">
        <f>SUMIF('Bigger Board'!D:D,D266,'Bigger Board'!C:C)</f>
        <v>266</v>
      </c>
      <c r="D266" s="7" t="s">
        <v>393</v>
      </c>
      <c r="E266" s="7" t="s">
        <v>112</v>
      </c>
      <c r="F266" s="6" t="s">
        <v>44</v>
      </c>
      <c r="G266" s="6">
        <f>SUMIF('Bigger Board'!D:D,D266,'Bigger Board'!G:G)</f>
        <v>29</v>
      </c>
      <c r="H266" s="8">
        <f>SUMIF('Bigger Board'!D:D,D266,'Bigger Board'!H:H)</f>
        <v>72.5</v>
      </c>
      <c r="I266" s="9">
        <v>220.0</v>
      </c>
      <c r="J266" s="8" t="s">
        <v>94</v>
      </c>
    </row>
    <row r="267">
      <c r="A267" s="6">
        <f>SUMIF('Bigger Board'!D:D,D267,'Bigger Board'!A:A)</f>
        <v>263</v>
      </c>
      <c r="B267" s="6">
        <f>SUMIF('Bigger Board'!D:D,D267,'Bigger Board'!B:B)</f>
        <v>254</v>
      </c>
      <c r="C267" s="6">
        <f>SUMIF('Bigger Board'!D:D,D267,'Bigger Board'!C:C)</f>
        <v>267</v>
      </c>
      <c r="D267" s="7" t="s">
        <v>394</v>
      </c>
      <c r="E267" s="7" t="s">
        <v>18</v>
      </c>
      <c r="F267" s="6" t="s">
        <v>26</v>
      </c>
      <c r="G267" s="6">
        <f>SUMIF('Bigger Board'!D:D,D267,'Bigger Board'!G:G)</f>
        <v>21</v>
      </c>
      <c r="H267" s="8">
        <f>SUMIF('Bigger Board'!D:D,D267,'Bigger Board'!H:H)</f>
        <v>72.1</v>
      </c>
      <c r="I267" s="9">
        <v>172.0</v>
      </c>
      <c r="J267" s="8" t="s">
        <v>60</v>
      </c>
    </row>
    <row r="268">
      <c r="A268" s="6">
        <f>SUMIF('Bigger Board'!D:D,D268,'Bigger Board'!A:A)</f>
        <v>264</v>
      </c>
      <c r="B268" s="6">
        <f>SUMIF('Bigger Board'!D:D,D268,'Bigger Board'!B:B)</f>
        <v>317</v>
      </c>
      <c r="C268" s="6">
        <f>SUMIF('Bigger Board'!D:D,D268,'Bigger Board'!C:C)</f>
        <v>264</v>
      </c>
      <c r="D268" s="7" t="s">
        <v>395</v>
      </c>
      <c r="E268" s="7" t="s">
        <v>245</v>
      </c>
      <c r="F268" s="6" t="s">
        <v>40</v>
      </c>
      <c r="G268" s="6">
        <f>SUMIF('Bigger Board'!D:D,D268,'Bigger Board'!G:G)</f>
        <v>39</v>
      </c>
      <c r="H268" s="8">
        <f>SUMIF('Bigger Board'!D:D,D268,'Bigger Board'!H:H)</f>
        <v>79.3</v>
      </c>
      <c r="I268" s="9">
        <v>204.0</v>
      </c>
      <c r="J268" s="8" t="s">
        <v>92</v>
      </c>
    </row>
    <row r="269">
      <c r="A269" s="6">
        <f>SUMIF('Bigger Board'!D:D,D269,'Bigger Board'!A:A)</f>
        <v>265</v>
      </c>
      <c r="B269" s="6">
        <f>SUMIF('Bigger Board'!D:D,D269,'Bigger Board'!B:B)</f>
        <v>259</v>
      </c>
      <c r="C269" s="6">
        <f>SUMIF('Bigger Board'!D:D,D269,'Bigger Board'!C:C)</f>
        <v>271</v>
      </c>
      <c r="D269" s="7" t="s">
        <v>396</v>
      </c>
      <c r="E269" s="7" t="s">
        <v>43</v>
      </c>
      <c r="F269" s="6" t="s">
        <v>40</v>
      </c>
      <c r="G269" s="6">
        <f>SUMIF('Bigger Board'!D:D,D269,'Bigger Board'!G:G)</f>
        <v>40</v>
      </c>
      <c r="H269" s="8">
        <f>SUMIF('Bigger Board'!D:D,D269,'Bigger Board'!H:H)</f>
        <v>68</v>
      </c>
      <c r="I269" s="9">
        <v>89.0</v>
      </c>
      <c r="J269" s="8" t="s">
        <v>65</v>
      </c>
    </row>
    <row r="270">
      <c r="A270" s="6">
        <f>SUMIF('Bigger Board'!D:D,D270,'Bigger Board'!A:A)</f>
        <v>266</v>
      </c>
      <c r="B270" s="6">
        <f>SUMIF('Bigger Board'!D:D,D270,'Bigger Board'!B:B)</f>
        <v>273</v>
      </c>
      <c r="C270" s="6">
        <f>SUMIF('Bigger Board'!D:D,D270,'Bigger Board'!C:C)</f>
        <v>270</v>
      </c>
      <c r="D270" s="7" t="s">
        <v>397</v>
      </c>
      <c r="E270" s="7" t="s">
        <v>398</v>
      </c>
      <c r="F270" s="6" t="s">
        <v>91</v>
      </c>
      <c r="G270" s="6">
        <f>SUMIF('Bigger Board'!D:D,D270,'Bigger Board'!G:G)</f>
        <v>10</v>
      </c>
      <c r="H270" s="8">
        <f>SUMIF('Bigger Board'!D:D,D270,'Bigger Board'!H:H)</f>
        <v>69.3</v>
      </c>
      <c r="I270" s="9">
        <v>242.0</v>
      </c>
      <c r="J270" s="8" t="s">
        <v>135</v>
      </c>
    </row>
    <row r="271">
      <c r="A271" s="6">
        <f>SUMIF('Bigger Board'!D:D,D271,'Bigger Board'!A:A)</f>
        <v>267</v>
      </c>
      <c r="B271" s="6">
        <f>SUMIF('Bigger Board'!D:D,D271,'Bigger Board'!B:B)</f>
        <v>286</v>
      </c>
      <c r="C271" s="6">
        <f>SUMIF('Bigger Board'!D:D,D271,'Bigger Board'!C:C)</f>
        <v>268</v>
      </c>
      <c r="D271" s="7" t="s">
        <v>399</v>
      </c>
      <c r="E271" s="7" t="s">
        <v>43</v>
      </c>
      <c r="F271" s="6" t="s">
        <v>32</v>
      </c>
      <c r="G271" s="6">
        <f>SUMIF('Bigger Board'!D:D,D271,'Bigger Board'!G:G)</f>
        <v>30</v>
      </c>
      <c r="H271" s="8">
        <f>SUMIF('Bigger Board'!D:D,D271,'Bigger Board'!H:H)</f>
        <v>73.9</v>
      </c>
      <c r="I271" s="9"/>
      <c r="J271" s="8"/>
    </row>
    <row r="272">
      <c r="A272" s="6">
        <f>SUMIF('Bigger Board'!D:D,D272,'Bigger Board'!A:A)</f>
        <v>268</v>
      </c>
      <c r="B272" s="6">
        <f>SUMIF('Bigger Board'!D:D,D272,'Bigger Board'!B:B)</f>
        <v>249</v>
      </c>
      <c r="C272" s="6">
        <f>SUMIF('Bigger Board'!D:D,D272,'Bigger Board'!C:C)</f>
        <v>283</v>
      </c>
      <c r="D272" s="7" t="s">
        <v>400</v>
      </c>
      <c r="E272" s="7" t="s">
        <v>50</v>
      </c>
      <c r="F272" s="6" t="s">
        <v>63</v>
      </c>
      <c r="G272" s="6">
        <f>SUMIF('Bigger Board'!D:D,D272,'Bigger Board'!G:G)</f>
        <v>21</v>
      </c>
      <c r="H272" s="8">
        <f>SUMIF('Bigger Board'!D:D,D272,'Bigger Board'!H:H)</f>
        <v>75.7</v>
      </c>
      <c r="I272" s="9"/>
      <c r="J272" s="8"/>
    </row>
    <row r="273">
      <c r="A273" s="6">
        <f>SUMIF('Bigger Board'!D:D,D273,'Bigger Board'!A:A)</f>
        <v>269</v>
      </c>
      <c r="B273" s="6">
        <f>SUMIF('Bigger Board'!D:D,D273,'Bigger Board'!B:B)</f>
        <v>292</v>
      </c>
      <c r="C273" s="6">
        <f>SUMIF('Bigger Board'!D:D,D273,'Bigger Board'!C:C)</f>
        <v>263</v>
      </c>
      <c r="D273" s="7" t="s">
        <v>401</v>
      </c>
      <c r="E273" s="7" t="s">
        <v>137</v>
      </c>
      <c r="F273" s="6" t="s">
        <v>234</v>
      </c>
      <c r="G273" s="6">
        <f>SUMIF('Bigger Board'!D:D,D273,'Bigger Board'!G:G)</f>
        <v>7</v>
      </c>
      <c r="H273" s="8">
        <f>SUMIF('Bigger Board'!D:D,D273,'Bigger Board'!H:H)</f>
        <v>107.3</v>
      </c>
      <c r="I273" s="9"/>
      <c r="J273" s="8"/>
    </row>
    <row r="274">
      <c r="A274" s="6">
        <f>SUMIF('Bigger Board'!D:D,D274,'Bigger Board'!A:A)</f>
        <v>270</v>
      </c>
      <c r="B274" s="6">
        <f>SUMIF('Bigger Board'!D:D,D274,'Bigger Board'!B:B)</f>
        <v>276</v>
      </c>
      <c r="C274" s="6">
        <f>SUMIF('Bigger Board'!D:D,D274,'Bigger Board'!C:C)</f>
        <v>277</v>
      </c>
      <c r="D274" s="7" t="s">
        <v>402</v>
      </c>
      <c r="E274" s="7" t="s">
        <v>62</v>
      </c>
      <c r="F274" s="6" t="s">
        <v>23</v>
      </c>
      <c r="G274" s="6">
        <f>SUMIF('Bigger Board'!D:D,D274,'Bigger Board'!G:G)</f>
        <v>19</v>
      </c>
      <c r="H274" s="8">
        <f>SUMIF('Bigger Board'!D:D,D274,'Bigger Board'!H:H)</f>
        <v>67.1</v>
      </c>
      <c r="I274" s="9"/>
      <c r="J274" s="8"/>
    </row>
    <row r="275">
      <c r="A275" s="6">
        <f>SUMIF('Bigger Board'!D:D,D275,'Bigger Board'!A:A)</f>
        <v>271</v>
      </c>
      <c r="B275" s="6">
        <f>SUMIF('Bigger Board'!D:D,D275,'Bigger Board'!B:B)</f>
        <v>257</v>
      </c>
      <c r="C275" s="6">
        <f>SUMIF('Bigger Board'!D:D,D275,'Bigger Board'!C:C)</f>
        <v>278</v>
      </c>
      <c r="D275" s="7" t="s">
        <v>403</v>
      </c>
      <c r="E275" s="7" t="s">
        <v>119</v>
      </c>
      <c r="F275" s="6" t="s">
        <v>23</v>
      </c>
      <c r="G275" s="6">
        <f>SUMIF('Bigger Board'!D:D,D275,'Bigger Board'!G:G)</f>
        <v>20</v>
      </c>
      <c r="H275" s="8">
        <f>SUMIF('Bigger Board'!D:D,D275,'Bigger Board'!H:H)</f>
        <v>72.1</v>
      </c>
      <c r="I275" s="9"/>
      <c r="J275" s="8"/>
    </row>
    <row r="276">
      <c r="A276" s="6">
        <f>SUMIF('Bigger Board'!D:D,D276,'Bigger Board'!A:A)</f>
        <v>272</v>
      </c>
      <c r="B276" s="6">
        <f>SUMIF('Bigger Board'!D:D,D276,'Bigger Board'!B:B)</f>
        <v>313</v>
      </c>
      <c r="C276" s="6">
        <f>SUMIF('Bigger Board'!D:D,D276,'Bigger Board'!C:C)</f>
        <v>272</v>
      </c>
      <c r="D276" s="7" t="s">
        <v>404</v>
      </c>
      <c r="E276" s="7" t="s">
        <v>158</v>
      </c>
      <c r="F276" s="6" t="s">
        <v>23</v>
      </c>
      <c r="G276" s="6">
        <f>SUMIF('Bigger Board'!D:D,D276,'Bigger Board'!G:G)</f>
        <v>21</v>
      </c>
      <c r="H276" s="8">
        <f>SUMIF('Bigger Board'!D:D,D276,'Bigger Board'!H:H)</f>
        <v>68</v>
      </c>
      <c r="I276" s="9"/>
      <c r="J276" s="8"/>
    </row>
    <row r="277">
      <c r="A277" s="6">
        <f>SUMIF('Bigger Board'!D:D,D277,'Bigger Board'!A:A)</f>
        <v>273</v>
      </c>
      <c r="B277" s="6">
        <f>SUMIF('Bigger Board'!D:D,D277,'Bigger Board'!B:B)</f>
        <v>284</v>
      </c>
      <c r="C277" s="6">
        <f>SUMIF('Bigger Board'!D:D,D277,'Bigger Board'!C:C)</f>
        <v>269</v>
      </c>
      <c r="D277" s="7" t="s">
        <v>405</v>
      </c>
      <c r="E277" s="7" t="s">
        <v>124</v>
      </c>
      <c r="F277" s="6" t="s">
        <v>63</v>
      </c>
      <c r="G277" s="6">
        <f>SUMIF('Bigger Board'!D:D,D277,'Bigger Board'!G:G)</f>
        <v>22</v>
      </c>
      <c r="H277" s="8">
        <f>SUMIF('Bigger Board'!D:D,D277,'Bigger Board'!H:H)</f>
        <v>76.1</v>
      </c>
      <c r="I277" s="9">
        <v>225.0</v>
      </c>
      <c r="J277" s="8" t="s">
        <v>41</v>
      </c>
    </row>
    <row r="278">
      <c r="A278" s="6">
        <f>SUMIF('Bigger Board'!D:D,D278,'Bigger Board'!A:A)</f>
        <v>274</v>
      </c>
      <c r="B278" s="6">
        <f>SUMIF('Bigger Board'!D:D,D278,'Bigger Board'!B:B)</f>
        <v>349</v>
      </c>
      <c r="C278" s="6">
        <f>SUMIF('Bigger Board'!D:D,D278,'Bigger Board'!C:C)</f>
        <v>265</v>
      </c>
      <c r="D278" s="7" t="s">
        <v>406</v>
      </c>
      <c r="E278" s="7" t="s">
        <v>53</v>
      </c>
      <c r="F278" s="6" t="s">
        <v>38</v>
      </c>
      <c r="G278" s="6">
        <f>SUMIF('Bigger Board'!D:D,D278,'Bigger Board'!G:G)</f>
        <v>20</v>
      </c>
      <c r="H278" s="8">
        <f>SUMIF('Bigger Board'!D:D,D278,'Bigger Board'!H:H)</f>
        <v>77.9</v>
      </c>
      <c r="I278" s="9"/>
      <c r="J278" s="8"/>
    </row>
    <row r="279">
      <c r="A279" s="6">
        <f>SUMIF('Bigger Board'!D:D,D279,'Bigger Board'!A:A)</f>
        <v>275</v>
      </c>
      <c r="B279" s="6">
        <f>SUMIF('Bigger Board'!D:D,D279,'Bigger Board'!B:B)</f>
        <v>258</v>
      </c>
      <c r="C279" s="6">
        <f>SUMIF('Bigger Board'!D:D,D279,'Bigger Board'!C:C)</f>
        <v>279</v>
      </c>
      <c r="D279" s="7" t="s">
        <v>407</v>
      </c>
      <c r="E279" s="7" t="s">
        <v>166</v>
      </c>
      <c r="F279" s="6" t="s">
        <v>19</v>
      </c>
      <c r="G279" s="6">
        <f>SUMIF('Bigger Board'!D:D,D279,'Bigger Board'!G:G)</f>
        <v>23</v>
      </c>
      <c r="H279" s="8">
        <f>SUMIF('Bigger Board'!D:D,D279,'Bigger Board'!H:H)</f>
        <v>64.8</v>
      </c>
      <c r="I279" s="9"/>
      <c r="J279" s="8"/>
    </row>
    <row r="280">
      <c r="A280" s="6">
        <f>SUMIF('Bigger Board'!D:D,D280,'Bigger Board'!A:A)</f>
        <v>276</v>
      </c>
      <c r="B280" s="6">
        <f>SUMIF('Bigger Board'!D:D,D280,'Bigger Board'!B:B)</f>
        <v>237</v>
      </c>
      <c r="C280" s="6">
        <f>SUMIF('Bigger Board'!D:D,D280,'Bigger Board'!C:C)</f>
        <v>290</v>
      </c>
      <c r="D280" s="7" t="s">
        <v>408</v>
      </c>
      <c r="E280" s="7" t="s">
        <v>202</v>
      </c>
      <c r="F280" s="6" t="s">
        <v>40</v>
      </c>
      <c r="G280" s="6">
        <f>SUMIF('Bigger Board'!D:D,D280,'Bigger Board'!G:G)</f>
        <v>41</v>
      </c>
      <c r="H280" s="8">
        <f>SUMIF('Bigger Board'!D:D,D280,'Bigger Board'!H:H)</f>
        <v>72.5</v>
      </c>
      <c r="I280" s="9"/>
      <c r="J280" s="8"/>
    </row>
    <row r="281">
      <c r="A281" s="6">
        <f>SUMIF('Bigger Board'!D:D,D281,'Bigger Board'!A:A)</f>
        <v>277</v>
      </c>
      <c r="B281" s="6">
        <f>SUMIF('Bigger Board'!D:D,D281,'Bigger Board'!B:B)</f>
        <v>306</v>
      </c>
      <c r="C281" s="6">
        <f>SUMIF('Bigger Board'!D:D,D281,'Bigger Board'!C:C)</f>
        <v>273</v>
      </c>
      <c r="D281" s="7" t="s">
        <v>409</v>
      </c>
      <c r="E281" s="7" t="s">
        <v>142</v>
      </c>
      <c r="F281" s="6" t="s">
        <v>15</v>
      </c>
      <c r="G281" s="6">
        <f>SUMIF('Bigger Board'!D:D,D281,'Bigger Board'!G:G)</f>
        <v>11</v>
      </c>
      <c r="H281" s="8">
        <f>SUMIF('Bigger Board'!D:D,D281,'Bigger Board'!H:H)</f>
        <v>72.9</v>
      </c>
      <c r="I281" s="9"/>
      <c r="J281" s="8"/>
    </row>
    <row r="282">
      <c r="A282" s="6">
        <f>SUMIF('Bigger Board'!D:D,D282,'Bigger Board'!A:A)</f>
        <v>278</v>
      </c>
      <c r="B282" s="6">
        <f>SUMIF('Bigger Board'!D:D,D282,'Bigger Board'!B:B)</f>
        <v>234</v>
      </c>
      <c r="C282" s="6">
        <f>SUMIF('Bigger Board'!D:D,D282,'Bigger Board'!C:C)</f>
        <v>289</v>
      </c>
      <c r="D282" s="7" t="s">
        <v>410</v>
      </c>
      <c r="E282" s="7" t="s">
        <v>270</v>
      </c>
      <c r="F282" s="6" t="s">
        <v>44</v>
      </c>
      <c r="G282" s="6">
        <f>SUMIF('Bigger Board'!D:D,D282,'Bigger Board'!G:G)</f>
        <v>30</v>
      </c>
      <c r="H282" s="8">
        <f>SUMIF('Bigger Board'!D:D,D282,'Bigger Board'!H:H)</f>
        <v>91.5</v>
      </c>
      <c r="I282" s="9"/>
      <c r="J282" s="8"/>
    </row>
    <row r="283">
      <c r="A283" s="6">
        <f>SUMIF('Bigger Board'!D:D,D283,'Bigger Board'!A:A)</f>
        <v>279</v>
      </c>
      <c r="B283" s="6">
        <f>SUMIF('Bigger Board'!D:D,D283,'Bigger Board'!B:B)</f>
        <v>283</v>
      </c>
      <c r="C283" s="6">
        <f>SUMIF('Bigger Board'!D:D,D283,'Bigger Board'!C:C)</f>
        <v>276</v>
      </c>
      <c r="D283" s="7" t="s">
        <v>411</v>
      </c>
      <c r="E283" s="7" t="s">
        <v>144</v>
      </c>
      <c r="F283" s="6" t="s">
        <v>15</v>
      </c>
      <c r="G283" s="6">
        <f>SUMIF('Bigger Board'!D:D,D283,'Bigger Board'!G:G)</f>
        <v>12</v>
      </c>
      <c r="H283" s="8">
        <f>SUMIF('Bigger Board'!D:D,D283,'Bigger Board'!H:H)</f>
        <v>67.1</v>
      </c>
      <c r="I283" s="9"/>
      <c r="J283" s="8"/>
    </row>
    <row r="284">
      <c r="A284" s="6">
        <f>SUMIF('Bigger Board'!D:D,D284,'Bigger Board'!A:A)</f>
        <v>280</v>
      </c>
      <c r="B284" s="6">
        <f>SUMIF('Bigger Board'!D:D,D284,'Bigger Board'!B:B)</f>
        <v>246</v>
      </c>
      <c r="C284" s="6">
        <f>SUMIF('Bigger Board'!D:D,D284,'Bigger Board'!C:C)</f>
        <v>287</v>
      </c>
      <c r="D284" s="7" t="s">
        <v>412</v>
      </c>
      <c r="E284" s="7" t="s">
        <v>413</v>
      </c>
      <c r="F284" s="6" t="s">
        <v>38</v>
      </c>
      <c r="G284" s="6">
        <f>SUMIF('Bigger Board'!D:D,D284,'Bigger Board'!G:G)</f>
        <v>21</v>
      </c>
      <c r="H284" s="8">
        <f>SUMIF('Bigger Board'!D:D,D284,'Bigger Board'!H:H)</f>
        <v>80.2</v>
      </c>
      <c r="I284" s="9">
        <v>179.0</v>
      </c>
      <c r="J284" s="8" t="s">
        <v>173</v>
      </c>
    </row>
    <row r="285">
      <c r="A285" s="6">
        <f>SUMIF('Bigger Board'!D:D,D285,'Bigger Board'!A:A)</f>
        <v>281</v>
      </c>
      <c r="B285" s="6">
        <f>SUMIF('Bigger Board'!D:D,D285,'Bigger Board'!B:B)</f>
        <v>223</v>
      </c>
      <c r="C285" s="6">
        <f>SUMIF('Bigger Board'!D:D,D285,'Bigger Board'!C:C)</f>
        <v>292</v>
      </c>
      <c r="D285" s="7" t="s">
        <v>414</v>
      </c>
      <c r="E285" s="7" t="s">
        <v>75</v>
      </c>
      <c r="F285" s="6" t="s">
        <v>19</v>
      </c>
      <c r="G285" s="6">
        <f>SUMIF('Bigger Board'!D:D,D285,'Bigger Board'!G:G)</f>
        <v>24</v>
      </c>
      <c r="H285" s="8">
        <f>SUMIF('Bigger Board'!D:D,D285,'Bigger Board'!H:H)</f>
        <v>72.9</v>
      </c>
      <c r="I285" s="9">
        <v>123.0</v>
      </c>
      <c r="J285" s="8" t="s">
        <v>92</v>
      </c>
    </row>
    <row r="286">
      <c r="A286" s="6">
        <f>SUMIF('Bigger Board'!D:D,D286,'Bigger Board'!A:A)</f>
        <v>282</v>
      </c>
      <c r="B286" s="6">
        <f>SUMIF('Bigger Board'!D:D,D286,'Bigger Board'!B:B)</f>
        <v>304</v>
      </c>
      <c r="C286" s="6">
        <f>SUMIF('Bigger Board'!D:D,D286,'Bigger Board'!C:C)</f>
        <v>275</v>
      </c>
      <c r="D286" s="7" t="s">
        <v>415</v>
      </c>
      <c r="E286" s="7" t="s">
        <v>370</v>
      </c>
      <c r="F286" s="6" t="s">
        <v>40</v>
      </c>
      <c r="G286" s="6">
        <f>SUMIF('Bigger Board'!D:D,D286,'Bigger Board'!G:G)</f>
        <v>42</v>
      </c>
      <c r="H286" s="8">
        <f>SUMIF('Bigger Board'!D:D,D286,'Bigger Board'!H:H)</f>
        <v>71.6</v>
      </c>
      <c r="I286" s="9"/>
      <c r="J286" s="8"/>
    </row>
    <row r="287">
      <c r="A287" s="6">
        <f>SUMIF('Bigger Board'!D:D,D287,'Bigger Board'!A:A)</f>
        <v>283</v>
      </c>
      <c r="B287" s="6">
        <f>SUMIF('Bigger Board'!D:D,D287,'Bigger Board'!B:B)</f>
        <v>325</v>
      </c>
      <c r="C287" s="6">
        <f>SUMIF('Bigger Board'!D:D,D287,'Bigger Board'!C:C)</f>
        <v>274</v>
      </c>
      <c r="D287" s="7" t="s">
        <v>416</v>
      </c>
      <c r="E287" s="7" t="s">
        <v>312</v>
      </c>
      <c r="F287" s="6" t="s">
        <v>63</v>
      </c>
      <c r="G287" s="6">
        <f>SUMIF('Bigger Board'!D:D,D287,'Bigger Board'!G:G)</f>
        <v>23</v>
      </c>
      <c r="H287" s="8">
        <f>SUMIF('Bigger Board'!D:D,D287,'Bigger Board'!H:H)</f>
        <v>131.7</v>
      </c>
      <c r="I287" s="9">
        <v>248.0</v>
      </c>
      <c r="J287" s="8" t="s">
        <v>48</v>
      </c>
    </row>
    <row r="288">
      <c r="A288" s="6">
        <f>SUMIF('Bigger Board'!D:D,D288,'Bigger Board'!A:A)</f>
        <v>284</v>
      </c>
      <c r="B288" s="6">
        <f>SUMIF('Bigger Board'!D:D,D288,'Bigger Board'!B:B)</f>
        <v>305</v>
      </c>
      <c r="C288" s="6">
        <f>SUMIF('Bigger Board'!D:D,D288,'Bigger Board'!C:C)</f>
        <v>281</v>
      </c>
      <c r="D288" s="7" t="s">
        <v>417</v>
      </c>
      <c r="E288" s="7" t="s">
        <v>418</v>
      </c>
      <c r="F288" s="6" t="s">
        <v>19</v>
      </c>
      <c r="G288" s="6">
        <f>SUMIF('Bigger Board'!D:D,D288,'Bigger Board'!G:G)</f>
        <v>25</v>
      </c>
      <c r="H288" s="8">
        <f>SUMIF('Bigger Board'!D:D,D288,'Bigger Board'!H:H)</f>
        <v>90.6</v>
      </c>
      <c r="I288" s="9">
        <v>154.0</v>
      </c>
      <c r="J288" s="8" t="s">
        <v>173</v>
      </c>
    </row>
    <row r="289">
      <c r="A289" s="6">
        <f>SUMIF('Bigger Board'!D:D,D289,'Bigger Board'!A:A)</f>
        <v>285</v>
      </c>
      <c r="B289" s="6">
        <f>SUMIF('Bigger Board'!D:D,D289,'Bigger Board'!B:B)</f>
        <v>291</v>
      </c>
      <c r="C289" s="6">
        <f>SUMIF('Bigger Board'!D:D,D289,'Bigger Board'!C:C)</f>
        <v>284</v>
      </c>
      <c r="D289" s="7" t="s">
        <v>419</v>
      </c>
      <c r="E289" s="7" t="s">
        <v>340</v>
      </c>
      <c r="F289" s="6" t="s">
        <v>54</v>
      </c>
      <c r="G289" s="6">
        <f>SUMIF('Bigger Board'!D:D,D289,'Bigger Board'!G:G)</f>
        <v>22</v>
      </c>
      <c r="H289" s="8">
        <f>SUMIF('Bigger Board'!D:D,D289,'Bigger Board'!H:H)</f>
        <v>81.5</v>
      </c>
      <c r="I289" s="9"/>
      <c r="J289" s="8"/>
    </row>
    <row r="290">
      <c r="A290" s="6">
        <f>SUMIF('Bigger Board'!D:D,D290,'Bigger Board'!A:A)</f>
        <v>286</v>
      </c>
      <c r="B290" s="6">
        <f>SUMIF('Bigger Board'!D:D,D290,'Bigger Board'!B:B)</f>
        <v>318</v>
      </c>
      <c r="C290" s="6">
        <f>SUMIF('Bigger Board'!D:D,D290,'Bigger Board'!C:C)</f>
        <v>280</v>
      </c>
      <c r="D290" s="7" t="s">
        <v>420</v>
      </c>
      <c r="E290" s="7" t="s">
        <v>153</v>
      </c>
      <c r="F290" s="6" t="s">
        <v>85</v>
      </c>
      <c r="G290" s="6">
        <f>SUMIF('Bigger Board'!D:D,D290,'Bigger Board'!G:G)</f>
        <v>12</v>
      </c>
      <c r="H290" s="8">
        <f>SUMIF('Bigger Board'!D:D,D290,'Bigger Board'!H:H)</f>
        <v>87.4</v>
      </c>
      <c r="I290" s="9"/>
      <c r="J290" s="8"/>
    </row>
    <row r="291">
      <c r="A291" s="6">
        <f>SUMIF('Bigger Board'!D:D,D291,'Bigger Board'!A:A)</f>
        <v>287</v>
      </c>
      <c r="B291" s="6">
        <f>SUMIF('Bigger Board'!D:D,D291,'Bigger Board'!B:B)</f>
        <v>287</v>
      </c>
      <c r="C291" s="6">
        <f>SUMIF('Bigger Board'!D:D,D291,'Bigger Board'!C:C)</f>
        <v>293</v>
      </c>
      <c r="D291" s="7" t="s">
        <v>421</v>
      </c>
      <c r="E291" s="7" t="s">
        <v>67</v>
      </c>
      <c r="F291" s="6" t="s">
        <v>40</v>
      </c>
      <c r="G291" s="6">
        <f>SUMIF('Bigger Board'!D:D,D291,'Bigger Board'!G:G)</f>
        <v>43</v>
      </c>
      <c r="H291" s="8">
        <f>SUMIF('Bigger Board'!D:D,D291,'Bigger Board'!H:H)</f>
        <v>68.4</v>
      </c>
      <c r="I291" s="9"/>
      <c r="J291" s="8"/>
    </row>
    <row r="292">
      <c r="A292" s="6">
        <f>SUMIF('Bigger Board'!D:D,D292,'Bigger Board'!A:A)</f>
        <v>288</v>
      </c>
      <c r="B292" s="6">
        <f>SUMIF('Bigger Board'!D:D,D292,'Bigger Board'!B:B)</f>
        <v>277</v>
      </c>
      <c r="C292" s="6">
        <f>SUMIF('Bigger Board'!D:D,D292,'Bigger Board'!C:C)</f>
        <v>291</v>
      </c>
      <c r="D292" s="7" t="s">
        <v>422</v>
      </c>
      <c r="E292" s="7" t="s">
        <v>212</v>
      </c>
      <c r="F292" s="6" t="s">
        <v>85</v>
      </c>
      <c r="G292" s="6">
        <f>SUMIF('Bigger Board'!D:D,D292,'Bigger Board'!G:G)</f>
        <v>13</v>
      </c>
      <c r="H292" s="8">
        <f>SUMIF('Bigger Board'!D:D,D292,'Bigger Board'!H:H)</f>
        <v>75.2</v>
      </c>
      <c r="I292" s="9"/>
      <c r="J292" s="8"/>
    </row>
    <row r="293">
      <c r="A293" s="6">
        <f>SUMIF('Bigger Board'!D:D,D293,'Bigger Board'!A:A)</f>
        <v>289</v>
      </c>
      <c r="B293" s="6">
        <f>SUMIF('Bigger Board'!D:D,D293,'Bigger Board'!B:B)</f>
        <v>296</v>
      </c>
      <c r="C293" s="6">
        <f>SUMIF('Bigger Board'!D:D,D293,'Bigger Board'!C:C)</f>
        <v>286</v>
      </c>
      <c r="D293" s="7" t="s">
        <v>423</v>
      </c>
      <c r="E293" s="7" t="s">
        <v>424</v>
      </c>
      <c r="F293" s="6" t="s">
        <v>32</v>
      </c>
      <c r="G293" s="6">
        <f>SUMIF('Bigger Board'!D:D,D293,'Bigger Board'!G:G)</f>
        <v>31</v>
      </c>
      <c r="H293" s="8">
        <f>SUMIF('Bigger Board'!D:D,D293,'Bigger Board'!H:H)</f>
        <v>92.4</v>
      </c>
      <c r="I293" s="9"/>
      <c r="J293" s="8"/>
    </row>
    <row r="294">
      <c r="A294" s="6">
        <f>SUMIF('Bigger Board'!D:D,D294,'Bigger Board'!A:A)</f>
        <v>290</v>
      </c>
      <c r="B294" s="6">
        <f>SUMIF('Bigger Board'!D:D,D294,'Bigger Board'!B:B)</f>
        <v>280</v>
      </c>
      <c r="C294" s="6">
        <f>SUMIF('Bigger Board'!D:D,D294,'Bigger Board'!C:C)</f>
        <v>285</v>
      </c>
      <c r="D294" s="7" t="s">
        <v>425</v>
      </c>
      <c r="E294" s="7" t="s">
        <v>128</v>
      </c>
      <c r="F294" s="6" t="s">
        <v>32</v>
      </c>
      <c r="G294" s="6">
        <f>SUMIF('Bigger Board'!D:D,D294,'Bigger Board'!G:G)</f>
        <v>32</v>
      </c>
      <c r="H294" s="8">
        <f>SUMIF('Bigger Board'!D:D,D294,'Bigger Board'!H:H)</f>
        <v>89.2</v>
      </c>
      <c r="I294" s="9"/>
      <c r="J294" s="8"/>
    </row>
    <row r="295">
      <c r="A295" s="6">
        <f>SUMIF('Bigger Board'!D:D,D295,'Bigger Board'!A:A)</f>
        <v>291</v>
      </c>
      <c r="B295" s="6">
        <f>SUMIF('Bigger Board'!D:D,D295,'Bigger Board'!B:B)</f>
        <v>326</v>
      </c>
      <c r="C295" s="6">
        <f>SUMIF('Bigger Board'!D:D,D295,'Bigger Board'!C:C)</f>
        <v>282</v>
      </c>
      <c r="D295" s="7" t="s">
        <v>426</v>
      </c>
      <c r="E295" s="7" t="s">
        <v>284</v>
      </c>
      <c r="F295" s="6" t="s">
        <v>44</v>
      </c>
      <c r="G295" s="6">
        <f>SUMIF('Bigger Board'!D:D,D295,'Bigger Board'!G:G)</f>
        <v>31</v>
      </c>
      <c r="H295" s="8">
        <f>SUMIF('Bigger Board'!D:D,D295,'Bigger Board'!H:H)</f>
        <v>106.4</v>
      </c>
      <c r="I295" s="9"/>
      <c r="J295" s="8"/>
    </row>
    <row r="296">
      <c r="A296" s="6">
        <f>SUMIF('Bigger Board'!D:D,D296,'Bigger Board'!A:A)</f>
        <v>292</v>
      </c>
      <c r="B296" s="6">
        <f>SUMIF('Bigger Board'!D:D,D296,'Bigger Board'!B:B)</f>
        <v>353</v>
      </c>
      <c r="C296" s="6">
        <f>SUMIF('Bigger Board'!D:D,D296,'Bigger Board'!C:C)</f>
        <v>288</v>
      </c>
      <c r="D296" s="7" t="s">
        <v>427</v>
      </c>
      <c r="E296" s="7" t="s">
        <v>413</v>
      </c>
      <c r="F296" s="6" t="s">
        <v>15</v>
      </c>
      <c r="G296" s="6">
        <f>SUMIF('Bigger Board'!D:D,D296,'Bigger Board'!G:G)</f>
        <v>13</v>
      </c>
      <c r="H296" s="8">
        <f>SUMIF('Bigger Board'!D:D,D296,'Bigger Board'!H:H)</f>
        <v>63.9</v>
      </c>
      <c r="I296" s="9"/>
      <c r="J296" s="8"/>
    </row>
    <row r="297">
      <c r="A297" s="6">
        <f>SUMIF('Bigger Board'!D:D,D297,'Bigger Board'!A:A)</f>
        <v>293</v>
      </c>
      <c r="B297" s="6">
        <f>SUMIF('Bigger Board'!D:D,D297,'Bigger Board'!B:B)</f>
        <v>268</v>
      </c>
      <c r="C297" s="6">
        <f>SUMIF('Bigger Board'!D:D,D297,'Bigger Board'!C:C)</f>
        <v>298</v>
      </c>
      <c r="D297" s="7" t="s">
        <v>428</v>
      </c>
      <c r="E297" s="7" t="s">
        <v>35</v>
      </c>
      <c r="F297" s="6" t="s">
        <v>15</v>
      </c>
      <c r="G297" s="6">
        <f>SUMIF('Bigger Board'!D:D,D297,'Bigger Board'!G:G)</f>
        <v>14</v>
      </c>
      <c r="H297" s="8">
        <f>SUMIF('Bigger Board'!D:D,D297,'Bigger Board'!H:H)</f>
        <v>61.2</v>
      </c>
      <c r="I297" s="9">
        <v>234.0</v>
      </c>
      <c r="J297" s="8" t="s">
        <v>89</v>
      </c>
    </row>
    <row r="298">
      <c r="A298" s="6">
        <f>SUMIF('Bigger Board'!D:D,D298,'Bigger Board'!A:A)</f>
        <v>294</v>
      </c>
      <c r="B298" s="6">
        <f>SUMIF('Bigger Board'!D:D,D298,'Bigger Board'!B:B)</f>
        <v>327</v>
      </c>
      <c r="C298" s="6">
        <f>SUMIF('Bigger Board'!D:D,D298,'Bigger Board'!C:C)</f>
        <v>294</v>
      </c>
      <c r="D298" s="7" t="s">
        <v>429</v>
      </c>
      <c r="E298" s="7" t="s">
        <v>31</v>
      </c>
      <c r="F298" s="6" t="s">
        <v>170</v>
      </c>
      <c r="G298" s="6">
        <f>SUMIF('Bigger Board'!D:D,D298,'Bigger Board'!G:G)</f>
        <v>11</v>
      </c>
      <c r="H298" s="8">
        <f>SUMIF('Bigger Board'!D:D,D298,'Bigger Board'!H:H)</f>
        <v>61.2</v>
      </c>
      <c r="I298" s="9"/>
      <c r="J298" s="8"/>
    </row>
    <row r="299">
      <c r="A299" s="6">
        <f>SUMIF('Bigger Board'!D:D,D299,'Bigger Board'!A:A)</f>
        <v>295</v>
      </c>
      <c r="B299" s="6">
        <f>SUMIF('Bigger Board'!D:D,D299,'Bigger Board'!B:B)</f>
        <v>263</v>
      </c>
      <c r="C299" s="6">
        <f>SUMIF('Bigger Board'!D:D,D299,'Bigger Board'!C:C)</f>
        <v>309</v>
      </c>
      <c r="D299" s="7" t="s">
        <v>430</v>
      </c>
      <c r="E299" s="7" t="s">
        <v>80</v>
      </c>
      <c r="F299" s="6" t="s">
        <v>19</v>
      </c>
      <c r="G299" s="6">
        <f>SUMIF('Bigger Board'!D:D,D299,'Bigger Board'!G:G)</f>
        <v>26</v>
      </c>
      <c r="H299" s="8">
        <f>SUMIF('Bigger Board'!D:D,D299,'Bigger Board'!H:H)</f>
        <v>61.7</v>
      </c>
      <c r="I299" s="9"/>
      <c r="J299" s="8"/>
    </row>
    <row r="300">
      <c r="A300" s="6">
        <f>SUMIF('Bigger Board'!D:D,D300,'Bigger Board'!A:A)</f>
        <v>296</v>
      </c>
      <c r="B300" s="6">
        <f>SUMIF('Bigger Board'!D:D,D300,'Bigger Board'!B:B)</f>
        <v>270</v>
      </c>
      <c r="C300" s="6">
        <f>SUMIF('Bigger Board'!D:D,D300,'Bigger Board'!C:C)</f>
        <v>296</v>
      </c>
      <c r="D300" s="7" t="s">
        <v>431</v>
      </c>
      <c r="E300" s="7" t="s">
        <v>82</v>
      </c>
      <c r="F300" s="6" t="s">
        <v>44</v>
      </c>
      <c r="G300" s="6">
        <f>SUMIF('Bigger Board'!D:D,D300,'Bigger Board'!G:G)</f>
        <v>32</v>
      </c>
      <c r="H300" s="8">
        <f>SUMIF('Bigger Board'!D:D,D300,'Bigger Board'!H:H)</f>
        <v>72.5</v>
      </c>
      <c r="I300" s="9"/>
      <c r="J300" s="8"/>
    </row>
    <row r="301">
      <c r="A301" s="6">
        <f>SUMIF('Bigger Board'!D:D,D301,'Bigger Board'!A:A)</f>
        <v>297</v>
      </c>
      <c r="B301" s="6">
        <f>SUMIF('Bigger Board'!D:D,D301,'Bigger Board'!B:B)</f>
        <v>255</v>
      </c>
      <c r="C301" s="6">
        <f>SUMIF('Bigger Board'!D:D,D301,'Bigger Board'!C:C)</f>
        <v>304</v>
      </c>
      <c r="D301" s="7" t="s">
        <v>432</v>
      </c>
      <c r="E301" s="7" t="s">
        <v>175</v>
      </c>
      <c r="F301" s="6" t="s">
        <v>19</v>
      </c>
      <c r="G301" s="6">
        <f>SUMIF('Bigger Board'!D:D,D301,'Bigger Board'!G:G)</f>
        <v>27</v>
      </c>
      <c r="H301" s="8">
        <f>SUMIF('Bigger Board'!D:D,D301,'Bigger Board'!H:H)</f>
        <v>67.1</v>
      </c>
      <c r="I301" s="9">
        <v>212.0</v>
      </c>
      <c r="J301" s="8" t="s">
        <v>89</v>
      </c>
    </row>
    <row r="302">
      <c r="A302" s="6">
        <f>SUMIF('Bigger Board'!D:D,D302,'Bigger Board'!A:A)</f>
        <v>298</v>
      </c>
      <c r="B302" s="6">
        <f>SUMIF('Bigger Board'!D:D,D302,'Bigger Board'!B:B)</f>
        <v>337</v>
      </c>
      <c r="C302" s="6">
        <f>SUMIF('Bigger Board'!D:D,D302,'Bigger Board'!C:C)</f>
        <v>297</v>
      </c>
      <c r="D302" s="7" t="s">
        <v>433</v>
      </c>
      <c r="E302" s="7" t="s">
        <v>22</v>
      </c>
      <c r="F302" s="6" t="s">
        <v>26</v>
      </c>
      <c r="G302" s="6">
        <f>SUMIF('Bigger Board'!D:D,D302,'Bigger Board'!G:G)</f>
        <v>22</v>
      </c>
      <c r="H302" s="8">
        <f>SUMIF('Bigger Board'!D:D,D302,'Bigger Board'!H:H)</f>
        <v>78.8</v>
      </c>
      <c r="I302" s="9"/>
      <c r="J302" s="8"/>
    </row>
    <row r="303">
      <c r="A303" s="6">
        <f>SUMIF('Bigger Board'!D:D,D303,'Bigger Board'!A:A)</f>
        <v>299</v>
      </c>
      <c r="B303" s="6">
        <f>SUMIF('Bigger Board'!D:D,D303,'Bigger Board'!B:B)</f>
        <v>266</v>
      </c>
      <c r="C303" s="6">
        <f>SUMIF('Bigger Board'!D:D,D303,'Bigger Board'!C:C)</f>
        <v>306</v>
      </c>
      <c r="D303" s="7" t="s">
        <v>434</v>
      </c>
      <c r="E303" s="7" t="s">
        <v>43</v>
      </c>
      <c r="F303" s="6" t="s">
        <v>32</v>
      </c>
      <c r="G303" s="6">
        <f>SUMIF('Bigger Board'!D:D,D303,'Bigger Board'!G:G)</f>
        <v>33</v>
      </c>
      <c r="H303" s="8">
        <f>SUMIF('Bigger Board'!D:D,D303,'Bigger Board'!H:H)</f>
        <v>61.2</v>
      </c>
      <c r="I303" s="9"/>
      <c r="J303" s="8"/>
    </row>
    <row r="304">
      <c r="A304" s="6">
        <f>SUMIF('Bigger Board'!D:D,D304,'Bigger Board'!A:A)</f>
        <v>300</v>
      </c>
      <c r="B304" s="6">
        <f>SUMIF('Bigger Board'!D:D,D304,'Bigger Board'!B:B)</f>
        <v>298</v>
      </c>
      <c r="C304" s="6">
        <f>SUMIF('Bigger Board'!D:D,D304,'Bigger Board'!C:C)</f>
        <v>301</v>
      </c>
      <c r="D304" s="7" t="s">
        <v>435</v>
      </c>
      <c r="E304" s="7" t="s">
        <v>310</v>
      </c>
      <c r="F304" s="6" t="s">
        <v>40</v>
      </c>
      <c r="G304" s="6">
        <f>SUMIF('Bigger Board'!D:D,D304,'Bigger Board'!G:G)</f>
        <v>44</v>
      </c>
      <c r="H304" s="8">
        <f>SUMIF('Bigger Board'!D:D,D304,'Bigger Board'!H:H)</f>
        <v>61.2</v>
      </c>
      <c r="I304" s="9"/>
      <c r="J304" s="8"/>
    </row>
    <row r="305">
      <c r="A305" s="6">
        <f>SUMIF('Bigger Board'!D:D,D305,'Bigger Board'!A:A)</f>
        <v>301</v>
      </c>
      <c r="B305" s="6">
        <f>SUMIF('Bigger Board'!D:D,D305,'Bigger Board'!B:B)</f>
        <v>303</v>
      </c>
      <c r="C305" s="6">
        <f>SUMIF('Bigger Board'!D:D,D305,'Bigger Board'!C:C)</f>
        <v>299</v>
      </c>
      <c r="D305" s="7" t="s">
        <v>436</v>
      </c>
      <c r="E305" s="7" t="s">
        <v>153</v>
      </c>
      <c r="F305" s="6" t="s">
        <v>19</v>
      </c>
      <c r="G305" s="6">
        <f>SUMIF('Bigger Board'!D:D,D305,'Bigger Board'!G:G)</f>
        <v>28</v>
      </c>
      <c r="H305" s="8">
        <f>SUMIF('Bigger Board'!D:D,D305,'Bigger Board'!H:H)</f>
        <v>72</v>
      </c>
      <c r="I305" s="9">
        <v>183.0</v>
      </c>
      <c r="J305" s="8" t="s">
        <v>24</v>
      </c>
    </row>
    <row r="306">
      <c r="A306" s="6">
        <f>SUMIF('Bigger Board'!D:D,D306,'Bigger Board'!A:A)</f>
        <v>303</v>
      </c>
      <c r="B306" s="6">
        <f>SUMIF('Bigger Board'!D:D,D306,'Bigger Board'!B:B)</f>
        <v>275</v>
      </c>
      <c r="C306" s="6">
        <f>SUMIF('Bigger Board'!D:D,D306,'Bigger Board'!C:C)</f>
        <v>314</v>
      </c>
      <c r="D306" s="7" t="s">
        <v>437</v>
      </c>
      <c r="E306" s="7" t="s">
        <v>438</v>
      </c>
      <c r="F306" s="6" t="s">
        <v>32</v>
      </c>
      <c r="G306" s="6">
        <f>SUMIF('Bigger Board'!D:D,D306,'Bigger Board'!G:G)</f>
        <v>34</v>
      </c>
      <c r="H306" s="8">
        <f>SUMIF('Bigger Board'!D:D,D306,'Bigger Board'!H:H)</f>
        <v>81.1</v>
      </c>
      <c r="I306" s="9">
        <v>252.0</v>
      </c>
      <c r="J306" s="8" t="s">
        <v>51</v>
      </c>
    </row>
    <row r="307">
      <c r="A307" s="6">
        <f>SUMIF('Bigger Board'!D:D,D307,'Bigger Board'!A:A)</f>
        <v>309</v>
      </c>
      <c r="B307" s="6">
        <f>SUMIF('Bigger Board'!D:D,D307,'Bigger Board'!B:B)</f>
        <v>322</v>
      </c>
      <c r="C307" s="6">
        <f>SUMIF('Bigger Board'!D:D,D307,'Bigger Board'!C:C)</f>
        <v>318</v>
      </c>
      <c r="D307" s="7" t="s">
        <v>439</v>
      </c>
      <c r="E307" s="7" t="s">
        <v>216</v>
      </c>
      <c r="F307" s="6" t="s">
        <v>63</v>
      </c>
      <c r="G307" s="6">
        <f>SUMIF('Bigger Board'!D:D,D307,'Bigger Board'!G:G)</f>
        <v>26</v>
      </c>
      <c r="H307" s="8">
        <f>SUMIF('Bigger Board'!D:D,D307,'Bigger Board'!H:H)</f>
        <v>74.3</v>
      </c>
      <c r="I307" s="9">
        <v>180.0</v>
      </c>
      <c r="J307" s="8" t="s">
        <v>71</v>
      </c>
    </row>
    <row r="308">
      <c r="A308" s="6">
        <f>SUMIF('Bigger Board'!D:D,D308,'Bigger Board'!A:A)</f>
        <v>315</v>
      </c>
      <c r="B308" s="6">
        <f>SUMIF('Bigger Board'!D:D,D308,'Bigger Board'!B:B)</f>
        <v>274</v>
      </c>
      <c r="C308" s="6">
        <f>SUMIF('Bigger Board'!D:D,D308,'Bigger Board'!C:C)</f>
        <v>326</v>
      </c>
      <c r="D308" s="7" t="s">
        <v>440</v>
      </c>
      <c r="E308" s="7" t="s">
        <v>156</v>
      </c>
      <c r="F308" s="6" t="s">
        <v>54</v>
      </c>
      <c r="G308" s="6">
        <f>SUMIF('Bigger Board'!D:D,D308,'Bigger Board'!G:G)</f>
        <v>24</v>
      </c>
      <c r="H308" s="8">
        <f>SUMIF('Bigger Board'!D:D,D308,'Bigger Board'!H:H)</f>
        <v>72.5</v>
      </c>
      <c r="I308" s="9">
        <v>253.0</v>
      </c>
      <c r="J308" s="8" t="s">
        <v>55</v>
      </c>
    </row>
    <row r="309">
      <c r="A309" s="6">
        <f>SUMIF('Bigger Board'!D:D,D309,'Bigger Board'!A:A)</f>
        <v>317</v>
      </c>
      <c r="B309" s="6">
        <f>SUMIF('Bigger Board'!D:D,D309,'Bigger Board'!B:B)</f>
        <v>282</v>
      </c>
      <c r="C309" s="6">
        <f>SUMIF('Bigger Board'!D:D,D309,'Bigger Board'!C:C)</f>
        <v>310</v>
      </c>
      <c r="D309" s="7" t="s">
        <v>441</v>
      </c>
      <c r="E309" s="7" t="s">
        <v>150</v>
      </c>
      <c r="F309" s="6" t="s">
        <v>442</v>
      </c>
      <c r="G309" s="6">
        <f>SUMIF('Bigger Board'!D:D,D309,'Bigger Board'!G:G)</f>
        <v>1</v>
      </c>
      <c r="H309" s="8">
        <f>SUMIF('Bigger Board'!D:D,D309,'Bigger Board'!H:H)</f>
        <v>71.6</v>
      </c>
      <c r="I309" s="9">
        <v>159.0</v>
      </c>
      <c r="J309" s="8" t="s">
        <v>108</v>
      </c>
    </row>
    <row r="310">
      <c r="A310" s="6">
        <f>SUMIF('Bigger Board'!D:D,D310,'Bigger Board'!A:A)</f>
        <v>326</v>
      </c>
      <c r="B310" s="6">
        <f>SUMIF('Bigger Board'!D:D,D310,'Bigger Board'!B:B)</f>
        <v>320</v>
      </c>
      <c r="C310" s="6">
        <f>SUMIF('Bigger Board'!D:D,D310,'Bigger Board'!C:C)</f>
        <v>343</v>
      </c>
      <c r="D310" s="7" t="s">
        <v>443</v>
      </c>
      <c r="E310" s="7" t="s">
        <v>227</v>
      </c>
      <c r="F310" s="6" t="s">
        <v>234</v>
      </c>
      <c r="G310" s="6">
        <f>SUMIF('Bigger Board'!D:D,D310,'Bigger Board'!G:G)</f>
        <v>9</v>
      </c>
      <c r="H310" s="8">
        <f>SUMIF('Bigger Board'!D:D,D310,'Bigger Board'!H:H)</f>
        <v>67.1</v>
      </c>
      <c r="I310" s="9">
        <v>184.0</v>
      </c>
      <c r="J310" s="8" t="s">
        <v>41</v>
      </c>
    </row>
    <row r="311">
      <c r="A311" s="6">
        <f>SUMIF('Bigger Board'!D:D,D311,'Bigger Board'!A:A)</f>
        <v>338</v>
      </c>
      <c r="B311" s="6">
        <f>SUMIF('Bigger Board'!D:D,D311,'Bigger Board'!B:B)</f>
        <v>347</v>
      </c>
      <c r="C311" s="6">
        <f>SUMIF('Bigger Board'!D:D,D311,'Bigger Board'!C:C)</f>
        <v>342</v>
      </c>
      <c r="D311" s="7" t="s">
        <v>444</v>
      </c>
      <c r="E311" s="7" t="s">
        <v>413</v>
      </c>
      <c r="F311" s="6" t="s">
        <v>40</v>
      </c>
      <c r="G311" s="6">
        <f>SUMIF('Bigger Board'!D:D,D311,'Bigger Board'!G:G)</f>
        <v>46</v>
      </c>
      <c r="H311" s="8">
        <f>SUMIF('Bigger Board'!D:D,D311,'Bigger Board'!H:H)</f>
        <v>67.1</v>
      </c>
      <c r="I311" s="9">
        <v>199.0</v>
      </c>
      <c r="J311" s="8" t="s">
        <v>135</v>
      </c>
    </row>
    <row r="312">
      <c r="A312" s="6">
        <f>SUMIF('Bigger Board'!D:D,D312,'Bigger Board'!A:A)</f>
        <v>346</v>
      </c>
      <c r="B312" s="6">
        <f>SUMIF('Bigger Board'!D:D,D312,'Bigger Board'!B:B)</f>
        <v>369</v>
      </c>
      <c r="C312" s="6">
        <f>SUMIF('Bigger Board'!D:D,D312,'Bigger Board'!C:C)</f>
        <v>333</v>
      </c>
      <c r="D312" s="7" t="s">
        <v>445</v>
      </c>
      <c r="E312" s="7" t="s">
        <v>446</v>
      </c>
      <c r="F312" s="6" t="s">
        <v>19</v>
      </c>
      <c r="G312" s="6">
        <f>SUMIF('Bigger Board'!D:D,D312,'Bigger Board'!G:G)</f>
        <v>30</v>
      </c>
      <c r="H312" s="8">
        <f>SUMIF('Bigger Board'!D:D,D312,'Bigger Board'!H:H)</f>
        <v>68</v>
      </c>
      <c r="I312" s="9">
        <v>227.0</v>
      </c>
      <c r="J312" s="8" t="s">
        <v>68</v>
      </c>
    </row>
    <row r="313">
      <c r="A313" s="6">
        <f>SUMIF('Bigger Board'!D:D,D313,'Bigger Board'!A:A)</f>
        <v>351</v>
      </c>
      <c r="B313" s="6">
        <f>SUMIF('Bigger Board'!D:D,D313,'Bigger Board'!B:B)</f>
        <v>379</v>
      </c>
      <c r="C313" s="6">
        <f>SUMIF('Bigger Board'!D:D,D313,'Bigger Board'!C:C)</f>
        <v>350</v>
      </c>
      <c r="D313" s="7" t="s">
        <v>447</v>
      </c>
      <c r="E313" s="7" t="s">
        <v>73</v>
      </c>
      <c r="F313" s="6" t="s">
        <v>91</v>
      </c>
      <c r="G313" s="6">
        <f>SUMIF('Bigger Board'!D:D,D313,'Bigger Board'!G:G)</f>
        <v>13</v>
      </c>
      <c r="H313" s="8">
        <f>SUMIF('Bigger Board'!D:D,D313,'Bigger Board'!H:H)</f>
        <v>65.3</v>
      </c>
      <c r="I313" s="9">
        <v>186.0</v>
      </c>
      <c r="J313" s="8" t="s">
        <v>20</v>
      </c>
    </row>
    <row r="314">
      <c r="A314" s="6">
        <f>SUMIF('Bigger Board'!D:D,D314,'Bigger Board'!A:A)</f>
        <v>352</v>
      </c>
      <c r="B314" s="6">
        <f>SUMIF('Bigger Board'!D:D,D314,'Bigger Board'!B:B)</f>
        <v>289</v>
      </c>
      <c r="C314" s="6">
        <f>SUMIF('Bigger Board'!D:D,D314,'Bigger Board'!C:C)</f>
        <v>359</v>
      </c>
      <c r="D314" s="7" t="s">
        <v>448</v>
      </c>
      <c r="E314" s="7" t="s">
        <v>107</v>
      </c>
      <c r="F314" s="6" t="s">
        <v>449</v>
      </c>
      <c r="G314" s="6">
        <f>SUMIF('Bigger Board'!D:D,D314,'Bigger Board'!G:G)</f>
        <v>1</v>
      </c>
      <c r="H314" s="8">
        <f>SUMIF('Bigger Board'!D:D,D314,'Bigger Board'!H:H)</f>
        <v>83.8</v>
      </c>
      <c r="I314" s="9">
        <v>216.0</v>
      </c>
      <c r="J314" s="8" t="s">
        <v>120</v>
      </c>
    </row>
    <row r="315">
      <c r="A315" s="6">
        <f>SUMIF('Bigger Board'!D:D,D315,'Bigger Board'!A:A)</f>
        <v>355</v>
      </c>
      <c r="B315" s="6">
        <f>SUMIF('Bigger Board'!D:D,D315,'Bigger Board'!B:B)</f>
        <v>371</v>
      </c>
      <c r="C315" s="6">
        <f>SUMIF('Bigger Board'!D:D,D315,'Bigger Board'!C:C)</f>
        <v>336</v>
      </c>
      <c r="D315" s="7" t="s">
        <v>450</v>
      </c>
      <c r="E315" s="7" t="s">
        <v>43</v>
      </c>
      <c r="F315" s="6" t="s">
        <v>63</v>
      </c>
      <c r="G315" s="6">
        <f>SUMIF('Bigger Board'!D:D,D315,'Bigger Board'!G:G)</f>
        <v>30</v>
      </c>
      <c r="H315" s="8">
        <f>SUMIF('Bigger Board'!D:D,D315,'Bigger Board'!H:H)</f>
        <v>64.4</v>
      </c>
      <c r="I315" s="9">
        <v>185.0</v>
      </c>
      <c r="J315" s="8" t="s">
        <v>33</v>
      </c>
    </row>
    <row r="316">
      <c r="A316" s="6">
        <f>SUMIF('Bigger Board'!D:D,D316,'Bigger Board'!A:A)</f>
        <v>358</v>
      </c>
      <c r="B316" s="6">
        <f>SUMIF('Bigger Board'!D:D,D316,'Bigger Board'!B:B)</f>
        <v>383</v>
      </c>
      <c r="C316" s="6">
        <f>SUMIF('Bigger Board'!D:D,D316,'Bigger Board'!C:C)</f>
        <v>357</v>
      </c>
      <c r="D316" s="7" t="s">
        <v>451</v>
      </c>
      <c r="E316" s="7" t="s">
        <v>452</v>
      </c>
      <c r="F316" s="6" t="s">
        <v>85</v>
      </c>
      <c r="G316" s="6">
        <f>SUMIF('Bigger Board'!D:D,D316,'Bigger Board'!G:G)</f>
        <v>14</v>
      </c>
      <c r="H316" s="8">
        <f>SUMIF('Bigger Board'!D:D,D316,'Bigger Board'!H:H)</f>
        <v>96.4</v>
      </c>
      <c r="I316" s="9">
        <v>251.0</v>
      </c>
      <c r="J316" s="8" t="s">
        <v>51</v>
      </c>
    </row>
    <row r="317">
      <c r="A317" s="6">
        <f>SUMIF('Bigger Board'!D:D,D317,'Bigger Board'!A:A)</f>
        <v>360</v>
      </c>
      <c r="B317" s="6">
        <f>SUMIF('Bigger Board'!D:D,D317,'Bigger Board'!B:B)</f>
        <v>256</v>
      </c>
      <c r="C317" s="6">
        <f>SUMIF('Bigger Board'!D:D,D317,'Bigger Board'!C:C)</f>
        <v>425</v>
      </c>
      <c r="D317" s="7" t="s">
        <v>453</v>
      </c>
      <c r="E317" s="7" t="s">
        <v>287</v>
      </c>
      <c r="F317" s="6" t="s">
        <v>454</v>
      </c>
      <c r="G317" s="6">
        <f>SUMIF('Bigger Board'!D:D,D317,'Bigger Board'!G:G)</f>
        <v>2</v>
      </c>
      <c r="H317" s="8">
        <f>SUMIF('Bigger Board'!D:D,D317,'Bigger Board'!H:H)</f>
        <v>83.4</v>
      </c>
      <c r="I317" s="9">
        <v>211.0</v>
      </c>
      <c r="J317" s="8" t="s">
        <v>55</v>
      </c>
    </row>
    <row r="318">
      <c r="A318" s="6">
        <f>SUMIF('Bigger Board'!D:D,D318,'Bigger Board'!A:A)</f>
        <v>361</v>
      </c>
      <c r="B318" s="6">
        <f>SUMIF('Bigger Board'!D:D,D318,'Bigger Board'!B:B)</f>
        <v>472</v>
      </c>
      <c r="C318" s="6">
        <f>SUMIF('Bigger Board'!D:D,D318,'Bigger Board'!C:C)</f>
        <v>347</v>
      </c>
      <c r="D318" s="7" t="s">
        <v>455</v>
      </c>
      <c r="E318" s="7" t="s">
        <v>130</v>
      </c>
      <c r="F318" s="6" t="s">
        <v>26</v>
      </c>
      <c r="G318" s="6">
        <f>SUMIF('Bigger Board'!D:D,D318,'Bigger Board'!G:G)</f>
        <v>27</v>
      </c>
      <c r="H318" s="8">
        <f>SUMIF('Bigger Board'!D:D,D318,'Bigger Board'!H:H)</f>
        <v>80.2</v>
      </c>
      <c r="I318" s="9">
        <v>246.0</v>
      </c>
      <c r="J318" s="8" t="s">
        <v>195</v>
      </c>
    </row>
    <row r="319">
      <c r="A319" s="6">
        <f>SUMIF('Bigger Board'!D:D,D319,'Bigger Board'!A:A)</f>
        <v>376</v>
      </c>
      <c r="B319" s="6">
        <f>SUMIF('Bigger Board'!D:D,D319,'Bigger Board'!B:B)</f>
        <v>385</v>
      </c>
      <c r="C319" s="6">
        <f>SUMIF('Bigger Board'!D:D,D319,'Bigger Board'!C:C)</f>
        <v>377</v>
      </c>
      <c r="D319" s="7" t="s">
        <v>456</v>
      </c>
      <c r="E319" s="7" t="s">
        <v>18</v>
      </c>
      <c r="F319" s="6" t="s">
        <v>38</v>
      </c>
      <c r="G319" s="6">
        <f>SUMIF('Bigger Board'!D:D,D319,'Bigger Board'!G:G)</f>
        <v>25</v>
      </c>
      <c r="H319" s="8">
        <f>SUMIF('Bigger Board'!D:D,D319,'Bigger Board'!H:H)</f>
        <v>58.5</v>
      </c>
      <c r="I319" s="9">
        <v>231.0</v>
      </c>
      <c r="J319" s="8" t="s">
        <v>76</v>
      </c>
    </row>
    <row r="320">
      <c r="A320" s="6">
        <f>SUMIF('Bigger Board'!D:D,D320,'Bigger Board'!A:A)</f>
        <v>378</v>
      </c>
      <c r="B320" s="6">
        <f>SUMIF('Bigger Board'!D:D,D320,'Bigger Board'!B:B)</f>
        <v>389</v>
      </c>
      <c r="C320" s="6">
        <f>SUMIF('Bigger Board'!D:D,D320,'Bigger Board'!C:C)</f>
        <v>381</v>
      </c>
      <c r="D320" s="7" t="s">
        <v>457</v>
      </c>
      <c r="E320" s="7" t="s">
        <v>57</v>
      </c>
      <c r="F320" s="6" t="s">
        <v>85</v>
      </c>
      <c r="G320" s="6">
        <f>SUMIF('Bigger Board'!D:D,D320,'Bigger Board'!G:G)</f>
        <v>10</v>
      </c>
      <c r="H320" s="8">
        <f>SUMIF('Bigger Board'!D:D,D320,'Bigger Board'!H:H)</f>
        <v>68</v>
      </c>
      <c r="I320" s="9">
        <v>222.0</v>
      </c>
      <c r="J320" s="8" t="s">
        <v>96</v>
      </c>
    </row>
    <row r="321">
      <c r="A321" s="6">
        <f>SUMIF('Bigger Board'!D:D,D321,'Bigger Board'!A:A)</f>
        <v>382</v>
      </c>
      <c r="B321" s="6">
        <f>SUMIF('Bigger Board'!D:D,D321,'Bigger Board'!B:B)</f>
        <v>429</v>
      </c>
      <c r="C321" s="6">
        <f>SUMIF('Bigger Board'!D:D,D321,'Bigger Board'!C:C)</f>
        <v>371</v>
      </c>
      <c r="D321" s="7" t="s">
        <v>458</v>
      </c>
      <c r="E321" s="7" t="s">
        <v>459</v>
      </c>
      <c r="F321" s="6" t="s">
        <v>15</v>
      </c>
      <c r="G321" s="6">
        <f>SUMIF('Bigger Board'!D:D,D321,'Bigger Board'!G:G)</f>
        <v>20</v>
      </c>
      <c r="H321" s="8">
        <f>SUMIF('Bigger Board'!D:D,D321,'Bigger Board'!H:H)</f>
        <v>64.4</v>
      </c>
      <c r="I321" s="9">
        <v>223.0</v>
      </c>
      <c r="J321" s="8" t="s">
        <v>29</v>
      </c>
    </row>
    <row r="322">
      <c r="A322" s="6">
        <f>SUMIF('Bigger Board'!D:D,D322,'Bigger Board'!A:A)</f>
        <v>386</v>
      </c>
      <c r="B322" s="6">
        <f>SUMIF('Bigger Board'!D:D,D322,'Bigger Board'!B:B)</f>
        <v>368</v>
      </c>
      <c r="C322" s="6">
        <f>SUMIF('Bigger Board'!D:D,D322,'Bigger Board'!C:C)</f>
        <v>375</v>
      </c>
      <c r="D322" s="7" t="s">
        <v>460</v>
      </c>
      <c r="E322" s="7" t="s">
        <v>202</v>
      </c>
      <c r="F322" s="6" t="s">
        <v>38</v>
      </c>
      <c r="G322" s="6">
        <f>SUMIF('Bigger Board'!D:D,D322,'Bigger Board'!G:G)</f>
        <v>27</v>
      </c>
      <c r="H322" s="8">
        <f>SUMIF('Bigger Board'!D:D,D322,'Bigger Board'!H:H)</f>
        <v>64.4</v>
      </c>
      <c r="I322" s="9">
        <v>217.0</v>
      </c>
      <c r="J322" s="8" t="s">
        <v>24</v>
      </c>
    </row>
    <row r="323">
      <c r="A323" s="6">
        <f>SUMIF('Bigger Board'!D:D,D323,'Bigger Board'!A:A)</f>
        <v>401</v>
      </c>
      <c r="B323" s="6">
        <f>SUMIF('Bigger Board'!D:D,D323,'Bigger Board'!B:B)</f>
        <v>376</v>
      </c>
      <c r="C323" s="6">
        <f>SUMIF('Bigger Board'!D:D,D323,'Bigger Board'!C:C)</f>
        <v>440</v>
      </c>
      <c r="D323" s="7" t="s">
        <v>461</v>
      </c>
      <c r="E323" s="7" t="s">
        <v>107</v>
      </c>
      <c r="F323" s="6" t="s">
        <v>454</v>
      </c>
      <c r="G323" s="6">
        <f>SUMIF('Bigger Board'!D:D,D323,'Bigger Board'!G:G)</f>
        <v>3</v>
      </c>
      <c r="H323" s="8">
        <f>SUMIF('Bigger Board'!D:D,D323,'Bigger Board'!H:H)</f>
        <v>65.7</v>
      </c>
      <c r="I323" s="9">
        <v>239.0</v>
      </c>
      <c r="J323" s="8" t="s">
        <v>94</v>
      </c>
    </row>
    <row r="324">
      <c r="A324" s="6">
        <f>SUMIF('Bigger Board'!D:D,D324,'Bigger Board'!A:A)</f>
        <v>412</v>
      </c>
      <c r="B324" s="6">
        <f>SUMIF('Bigger Board'!D:D,D324,'Bigger Board'!B:B)</f>
        <v>436</v>
      </c>
      <c r="C324" s="6">
        <f>SUMIF('Bigger Board'!D:D,D324,'Bigger Board'!C:C)</f>
        <v>403</v>
      </c>
      <c r="D324" s="7" t="s">
        <v>462</v>
      </c>
      <c r="E324" s="7" t="s">
        <v>87</v>
      </c>
      <c r="F324" s="6" t="s">
        <v>32</v>
      </c>
      <c r="G324" s="6">
        <f>SUMIF('Bigger Board'!D:D,D324,'Bigger Board'!G:G)</f>
        <v>45</v>
      </c>
      <c r="H324" s="8">
        <f>SUMIF('Bigger Board'!D:D,D324,'Bigger Board'!H:H)</f>
        <v>72.5</v>
      </c>
      <c r="I324" s="9">
        <v>233.0</v>
      </c>
      <c r="J324" s="8" t="s">
        <v>115</v>
      </c>
    </row>
    <row r="325">
      <c r="A325" s="6">
        <f>SUMIF('Bigger Board'!D:D,D325,'Bigger Board'!A:A)</f>
        <v>433</v>
      </c>
      <c r="B325" s="6">
        <f>SUMIF('Bigger Board'!D:D,D325,'Bigger Board'!B:B)</f>
        <v>350</v>
      </c>
      <c r="C325" s="6">
        <f>SUMIF('Bigger Board'!D:D,D325,'Bigger Board'!C:C)</f>
        <v>459</v>
      </c>
      <c r="D325" s="7" t="s">
        <v>463</v>
      </c>
      <c r="E325" s="7" t="s">
        <v>87</v>
      </c>
      <c r="F325" s="6" t="s">
        <v>85</v>
      </c>
      <c r="G325" s="6">
        <f>SUMIF('Bigger Board'!D:D,D325,'Bigger Board'!G:G)</f>
        <v>19</v>
      </c>
      <c r="H325" s="8">
        <f>SUMIF('Bigger Board'!D:D,D325,'Bigger Board'!H:H)</f>
        <v>84.2</v>
      </c>
      <c r="I325" s="9">
        <v>208.0</v>
      </c>
      <c r="J325" s="8" t="s">
        <v>76</v>
      </c>
    </row>
    <row r="326">
      <c r="A326" s="6">
        <f>SUMIF('Bigger Board'!D:D,D326,'Bigger Board'!A:A)</f>
        <v>438</v>
      </c>
      <c r="B326" s="6">
        <f>SUMIF('Bigger Board'!D:D,D326,'Bigger Board'!B:B)</f>
        <v>396</v>
      </c>
      <c r="C326" s="6">
        <f>SUMIF('Bigger Board'!D:D,D326,'Bigger Board'!C:C)</f>
        <v>447</v>
      </c>
      <c r="D326" s="7" t="s">
        <v>464</v>
      </c>
      <c r="E326" s="7" t="s">
        <v>465</v>
      </c>
      <c r="F326" s="6" t="s">
        <v>40</v>
      </c>
      <c r="G326" s="6">
        <f>SUMIF('Bigger Board'!D:D,D326,'Bigger Board'!G:G)</f>
        <v>59</v>
      </c>
      <c r="H326" s="8">
        <f>SUMIF('Bigger Board'!D:D,D326,'Bigger Board'!H:H)</f>
        <v>66.2</v>
      </c>
      <c r="I326" s="9">
        <v>218.0</v>
      </c>
      <c r="J326" s="8" t="s">
        <v>27</v>
      </c>
    </row>
    <row r="327">
      <c r="A327" s="6">
        <f>SUMIF('Bigger Board'!D:D,D327,'Bigger Board'!A:A)</f>
        <v>512</v>
      </c>
      <c r="B327" s="6">
        <f>SUMIF('Bigger Board'!D:D,D327,'Bigger Board'!B:B)</f>
        <v>502</v>
      </c>
      <c r="C327" s="6">
        <f>SUMIF('Bigger Board'!D:D,D327,'Bigger Board'!C:C)</f>
        <v>480</v>
      </c>
      <c r="D327" s="7" t="s">
        <v>466</v>
      </c>
      <c r="E327" s="7" t="s">
        <v>259</v>
      </c>
      <c r="F327" s="6" t="s">
        <v>44</v>
      </c>
      <c r="G327" s="6">
        <f>SUMIF('Bigger Board'!D:D,D327,'Bigger Board'!G:G)</f>
        <v>57</v>
      </c>
      <c r="H327" s="8">
        <f>SUMIF('Bigger Board'!D:D,D327,'Bigger Board'!H:H)</f>
        <v>60.3</v>
      </c>
      <c r="I327" s="9">
        <v>171.0</v>
      </c>
      <c r="J327" s="8" t="s">
        <v>89</v>
      </c>
    </row>
    <row r="328">
      <c r="A328" s="6">
        <f>SUMIF('Bigger Board'!D:D,D328,'Bigger Board'!A:A)</f>
        <v>612</v>
      </c>
      <c r="B328" s="6">
        <f>SUMIF('Bigger Board'!D:D,D328,'Bigger Board'!B:B)</f>
        <v>588</v>
      </c>
      <c r="C328" s="6">
        <f>SUMIF('Bigger Board'!D:D,D328,'Bigger Board'!C:C)</f>
        <v>599</v>
      </c>
      <c r="D328" s="7" t="s">
        <v>467</v>
      </c>
      <c r="E328" s="7" t="s">
        <v>133</v>
      </c>
      <c r="F328" s="6" t="s">
        <v>170</v>
      </c>
      <c r="G328" s="6">
        <f>SUMIF('Bigger Board'!D:D,D328,'Bigger Board'!G:G)</f>
        <v>26</v>
      </c>
      <c r="H328" s="8">
        <f>SUMIF('Bigger Board'!D:D,D328,'Bigger Board'!H:H)</f>
        <v>76.6</v>
      </c>
      <c r="I328" s="9">
        <v>235.0</v>
      </c>
      <c r="J328" s="8" t="s">
        <v>108</v>
      </c>
    </row>
    <row r="329">
      <c r="A329" s="6">
        <f>SUMIF('Bigger Board'!D:D,D329,'Bigger Board'!A:A)</f>
        <v>635</v>
      </c>
      <c r="B329" s="6">
        <f>SUMIF('Bigger Board'!D:D,D329,'Bigger Board'!B:B)</f>
        <v>540</v>
      </c>
      <c r="C329" s="6">
        <f>SUMIF('Bigger Board'!D:D,D329,'Bigger Board'!C:C)</f>
        <v>625</v>
      </c>
      <c r="D329" s="7" t="s">
        <v>468</v>
      </c>
      <c r="E329" s="7" t="s">
        <v>22</v>
      </c>
      <c r="F329" s="6" t="s">
        <v>85</v>
      </c>
      <c r="G329" s="6">
        <f>SUMIF('Bigger Board'!D:D,D329,'Bigger Board'!G:G)</f>
        <v>35</v>
      </c>
      <c r="H329" s="8">
        <f>SUMIF('Bigger Board'!D:D,D329,'Bigger Board'!H:H)</f>
        <v>68.9</v>
      </c>
      <c r="I329" s="9">
        <v>210.0</v>
      </c>
      <c r="J329" s="8" t="s">
        <v>99</v>
      </c>
    </row>
    <row r="330">
      <c r="A330" s="6">
        <f>SUMIF('Bigger Board'!D:D,D330,'Bigger Board'!A:A)</f>
        <v>678</v>
      </c>
      <c r="B330" s="6">
        <f>SUMIF('Bigger Board'!D:D,D330,'Bigger Board'!B:B)</f>
        <v>584</v>
      </c>
      <c r="C330" s="6">
        <f>SUMIF('Bigger Board'!D:D,D330,'Bigger Board'!C:C)</f>
        <v>682</v>
      </c>
      <c r="D330" s="7" t="s">
        <v>469</v>
      </c>
      <c r="E330" s="7" t="s">
        <v>208</v>
      </c>
      <c r="F330" s="6" t="s">
        <v>40</v>
      </c>
      <c r="G330" s="6">
        <f>SUMIF('Bigger Board'!D:D,D330,'Bigger Board'!G:G)</f>
        <v>87</v>
      </c>
      <c r="H330" s="8">
        <f>SUMIF('Bigger Board'!D:D,D330,'Bigger Board'!H:H)</f>
        <v>68.9</v>
      </c>
      <c r="I330" s="9">
        <v>203.0</v>
      </c>
      <c r="J330" s="8" t="s">
        <v>115</v>
      </c>
    </row>
    <row r="331">
      <c r="A331" s="6">
        <f>SUMIF('Bigger Board'!D:D,D331,'Bigger Board'!A:A)</f>
        <v>679</v>
      </c>
      <c r="B331" s="6">
        <f>SUMIF('Bigger Board'!D:D,D331,'Bigger Board'!B:B)</f>
        <v>661</v>
      </c>
      <c r="C331" s="6">
        <f>SUMIF('Bigger Board'!D:D,D331,'Bigger Board'!C:C)</f>
        <v>676</v>
      </c>
      <c r="D331" s="7" t="s">
        <v>470</v>
      </c>
      <c r="E331" s="7" t="s">
        <v>471</v>
      </c>
      <c r="F331" s="6" t="s">
        <v>19</v>
      </c>
      <c r="G331" s="6">
        <f>SUMIF('Bigger Board'!D:D,D331,'Bigger Board'!G:G)</f>
        <v>55</v>
      </c>
      <c r="H331" s="8">
        <f>SUMIF('Bigger Board'!D:D,D331,'Bigger Board'!H:H)</f>
        <v>69.8</v>
      </c>
      <c r="I331" s="9">
        <v>240.0</v>
      </c>
      <c r="J331" s="8" t="s">
        <v>115</v>
      </c>
    </row>
    <row r="332">
      <c r="A332" s="6">
        <f>SUMIF('Bigger Board'!D:D,D332,'Bigger Board'!A:A)</f>
        <v>733</v>
      </c>
      <c r="B332" s="6">
        <f>SUMIF('Bigger Board'!D:D,D332,'Bigger Board'!B:B)</f>
        <v>767</v>
      </c>
      <c r="C332" s="6">
        <f>SUMIF('Bigger Board'!D:D,D332,'Bigger Board'!C:C)</f>
        <v>707</v>
      </c>
      <c r="D332" s="7" t="s">
        <v>472</v>
      </c>
      <c r="E332" s="7" t="s">
        <v>146</v>
      </c>
      <c r="F332" s="6" t="s">
        <v>44</v>
      </c>
      <c r="G332" s="6">
        <f>SUMIF('Bigger Board'!D:D,D332,'Bigger Board'!G:G)</f>
        <v>76</v>
      </c>
      <c r="H332" s="8">
        <f>SUMIF('Bigger Board'!D:D,D332,'Bigger Board'!H:H)</f>
        <v>99.1</v>
      </c>
      <c r="I332" s="9">
        <v>255.0</v>
      </c>
      <c r="J332" s="8" t="s">
        <v>135</v>
      </c>
    </row>
  </sheetData>
  <autoFilter ref="$A$4:$J$332">
    <sortState ref="A4:J332">
      <sortCondition ref="A4:A332"/>
      <sortCondition ref="I4:I332"/>
    </sortState>
  </autoFilter>
  <mergeCells count="3">
    <mergeCell ref="A1:J1"/>
    <mergeCell ref="A2:J2"/>
    <mergeCell ref="A3:J3"/>
  </mergeCells>
  <conditionalFormatting sqref="I4:I332">
    <cfRule type="expression" dxfId="0" priority="1">
      <formula>COUNTIF($I:$I,I4)&gt;1</formula>
    </cfRule>
  </conditionalFormatting>
  <conditionalFormatting sqref="A5:J332">
    <cfRule type="expression" dxfId="1" priority="2">
      <formula>AND($I5&gt;=1,$I5&lt;300)</formula>
    </cfRule>
  </conditionalFormatting>
  <dataValidations>
    <dataValidation type="list" allowBlank="1" sqref="J5:J332">
      <formula1>'Team Names'!$A:$A</formula1>
    </dataValidation>
  </dataValidations>
  <hyperlinks>
    <hyperlink r:id="rId1" ref="A3"/>
  </hyperlinks>
  <printOptions gridLines="1" horizontalCentered="1"/>
  <pageMargins bottom="0.25" footer="0.0" header="0.0" left="0.25" right="0.25" top="0.25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6.38"/>
    <col customWidth="1" min="2" max="2" width="6.38"/>
    <col customWidth="1" hidden="1" min="3" max="3" width="7.0"/>
    <col customWidth="1" hidden="1" min="4" max="4" width="6.88"/>
    <col customWidth="1" min="5" max="5" width="18.5"/>
    <col customWidth="1" min="6" max="6" width="16.75"/>
    <col customWidth="1" min="7" max="7" width="9.63"/>
    <col customWidth="1" min="8" max="8" width="8.88"/>
    <col customWidth="1" hidden="1" min="9" max="9" width="9.88"/>
    <col customWidth="1" min="10" max="10" width="6.88"/>
    <col customWidth="1" min="11" max="11" width="31.0"/>
  </cols>
  <sheetData>
    <row r="1">
      <c r="A1" s="10" t="s">
        <v>11</v>
      </c>
      <c r="B1" s="4" t="s">
        <v>473</v>
      </c>
      <c r="C1" s="4"/>
      <c r="D1" s="5"/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5" t="s">
        <v>11</v>
      </c>
      <c r="K1" s="4" t="s">
        <v>12</v>
      </c>
    </row>
    <row r="2">
      <c r="A2" s="11">
        <f>IF(SUMIF('Big Board (by rank)'!D:D,E2,'Big Board (by rank)'!I:I)=0,"",SUMIF('Big Board (by rank)'!D:D,E2,'Big Board (by rank)'!I:I))</f>
        <v>1</v>
      </c>
      <c r="B2" s="6">
        <f t="array" ref="B2:K329">SORT('Big Board (by rank)'!A5:J329,9,TRUE,1,TRUE)</f>
        <v>1</v>
      </c>
      <c r="C2" s="6">
        <v>1.0</v>
      </c>
      <c r="D2" s="6">
        <v>1.0</v>
      </c>
      <c r="E2" s="7" t="s">
        <v>13</v>
      </c>
      <c r="F2" s="7" t="s">
        <v>14</v>
      </c>
      <c r="G2" s="6" t="s">
        <v>15</v>
      </c>
      <c r="H2" s="6">
        <v>1.0</v>
      </c>
      <c r="I2" s="8">
        <v>99.1</v>
      </c>
      <c r="J2" s="9">
        <v>1.0</v>
      </c>
      <c r="K2" s="8" t="s">
        <v>16</v>
      </c>
    </row>
    <row r="3">
      <c r="A3" s="11">
        <f>IF(SUMIF('Big Board (by rank)'!D:D,E3,'Big Board (by rank)'!I:I)=0,"",SUMIF('Big Board (by rank)'!D:D,E3,'Big Board (by rank)'!I:I))</f>
        <v>2</v>
      </c>
      <c r="B3" s="6">
        <v>7.0</v>
      </c>
      <c r="C3" s="6">
        <v>4.0</v>
      </c>
      <c r="D3" s="6">
        <v>7.0</v>
      </c>
      <c r="E3" s="7" t="s">
        <v>34</v>
      </c>
      <c r="F3" s="7" t="s">
        <v>35</v>
      </c>
      <c r="G3" s="6" t="s">
        <v>32</v>
      </c>
      <c r="H3" s="6">
        <v>2.0</v>
      </c>
      <c r="I3" s="8">
        <v>86.0</v>
      </c>
      <c r="J3" s="9">
        <v>2.0</v>
      </c>
      <c r="K3" s="8" t="s">
        <v>36</v>
      </c>
    </row>
    <row r="4">
      <c r="A4" s="11">
        <f>IF(SUMIF('Big Board (by rank)'!D:D,E4,'Big Board (by rank)'!I:I)=0,"",SUMIF('Big Board (by rank)'!D:D,E4,'Big Board (by rank)'!I:I))</f>
        <v>3</v>
      </c>
      <c r="B4" s="6">
        <v>3.0</v>
      </c>
      <c r="C4" s="6">
        <v>3.0</v>
      </c>
      <c r="D4" s="6">
        <v>2.0</v>
      </c>
      <c r="E4" s="7" t="s">
        <v>21</v>
      </c>
      <c r="F4" s="7" t="s">
        <v>22</v>
      </c>
      <c r="G4" s="6" t="s">
        <v>23</v>
      </c>
      <c r="H4" s="6">
        <v>1.0</v>
      </c>
      <c r="I4" s="8">
        <v>76.5</v>
      </c>
      <c r="J4" s="9">
        <v>3.0</v>
      </c>
      <c r="K4" s="8" t="s">
        <v>24</v>
      </c>
    </row>
    <row r="5">
      <c r="A5" s="11">
        <f>IF(SUMIF('Big Board (by rank)'!D:D,E5,'Big Board (by rank)'!I:I)=0,"",SUMIF('Big Board (by rank)'!D:D,E5,'Big Board (by rank)'!I:I))</f>
        <v>4</v>
      </c>
      <c r="B5" s="6">
        <v>9.0</v>
      </c>
      <c r="C5" s="6">
        <v>9.0</v>
      </c>
      <c r="D5" s="6">
        <v>9.0</v>
      </c>
      <c r="E5" s="7" t="s">
        <v>39</v>
      </c>
      <c r="F5" s="7" t="s">
        <v>18</v>
      </c>
      <c r="G5" s="6" t="s">
        <v>40</v>
      </c>
      <c r="H5" s="6">
        <v>1.0</v>
      </c>
      <c r="I5" s="8">
        <v>79.2</v>
      </c>
      <c r="J5" s="9">
        <v>4.0</v>
      </c>
      <c r="K5" s="8" t="s">
        <v>41</v>
      </c>
    </row>
    <row r="6">
      <c r="A6" s="11">
        <f>IF(SUMIF('Big Board (by rank)'!D:D,E6,'Big Board (by rank)'!I:I)=0,"",SUMIF('Big Board (by rank)'!D:D,E6,'Big Board (by rank)'!I:I))</f>
        <v>5</v>
      </c>
      <c r="B6" s="6">
        <v>2.0</v>
      </c>
      <c r="C6" s="6">
        <v>2.0</v>
      </c>
      <c r="D6" s="6">
        <v>3.0</v>
      </c>
      <c r="E6" s="7" t="s">
        <v>17</v>
      </c>
      <c r="F6" s="7" t="s">
        <v>18</v>
      </c>
      <c r="G6" s="6" t="s">
        <v>19</v>
      </c>
      <c r="H6" s="6">
        <v>1.0</v>
      </c>
      <c r="I6" s="8">
        <v>75.7</v>
      </c>
      <c r="J6" s="9">
        <v>5.0</v>
      </c>
      <c r="K6" s="8" t="s">
        <v>20</v>
      </c>
    </row>
    <row r="7">
      <c r="A7" s="11">
        <f>IF(SUMIF('Big Board (by rank)'!D:D,E7,'Big Board (by rank)'!I:I)=0,"",SUMIF('Big Board (by rank)'!D:D,E7,'Big Board (by rank)'!I:I))</f>
        <v>6</v>
      </c>
      <c r="B7" s="6">
        <v>10.0</v>
      </c>
      <c r="C7" s="6">
        <v>10.0</v>
      </c>
      <c r="D7" s="6">
        <v>8.0</v>
      </c>
      <c r="E7" s="7" t="s">
        <v>42</v>
      </c>
      <c r="F7" s="7" t="s">
        <v>43</v>
      </c>
      <c r="G7" s="6" t="s">
        <v>44</v>
      </c>
      <c r="H7" s="6">
        <v>1.0</v>
      </c>
      <c r="I7" s="8">
        <v>71.1</v>
      </c>
      <c r="J7" s="9">
        <v>6.0</v>
      </c>
      <c r="K7" s="8" t="s">
        <v>45</v>
      </c>
    </row>
    <row r="8">
      <c r="A8" s="11">
        <f>IF(SUMIF('Big Board (by rank)'!D:D,E8,'Big Board (by rank)'!I:I)=0,"",SUMIF('Big Board (by rank)'!D:D,E8,'Big Board (by rank)'!I:I))</f>
        <v>7</v>
      </c>
      <c r="B8" s="6">
        <v>5.0</v>
      </c>
      <c r="C8" s="6">
        <v>6.0</v>
      </c>
      <c r="D8" s="6">
        <v>5.0</v>
      </c>
      <c r="E8" s="7" t="s">
        <v>28</v>
      </c>
      <c r="F8" s="7" t="s">
        <v>18</v>
      </c>
      <c r="G8" s="6" t="s">
        <v>19</v>
      </c>
      <c r="H8" s="6">
        <v>2.0</v>
      </c>
      <c r="I8" s="8">
        <v>76.5</v>
      </c>
      <c r="J8" s="9">
        <v>7.0</v>
      </c>
      <c r="K8" s="8" t="s">
        <v>29</v>
      </c>
    </row>
    <row r="9">
      <c r="A9" s="11">
        <f>IF(SUMIF('Big Board (by rank)'!D:D,E9,'Big Board (by rank)'!I:I)=0,"",SUMIF('Big Board (by rank)'!D:D,E9,'Big Board (by rank)'!I:I))</f>
        <v>8</v>
      </c>
      <c r="B9" s="6">
        <v>15.0</v>
      </c>
      <c r="C9" s="6">
        <v>15.0</v>
      </c>
      <c r="D9" s="6">
        <v>12.0</v>
      </c>
      <c r="E9" s="7" t="s">
        <v>58</v>
      </c>
      <c r="F9" s="7" t="s">
        <v>59</v>
      </c>
      <c r="G9" s="6" t="s">
        <v>40</v>
      </c>
      <c r="H9" s="6">
        <v>3.0</v>
      </c>
      <c r="I9" s="8">
        <v>83.3</v>
      </c>
      <c r="J9" s="9">
        <v>8.0</v>
      </c>
      <c r="K9" s="8" t="s">
        <v>60</v>
      </c>
    </row>
    <row r="10">
      <c r="A10" s="11">
        <f>IF(SUMIF('Big Board (by rank)'!D:D,E10,'Big Board (by rank)'!I:I)=0,"",SUMIF('Big Board (by rank)'!D:D,E10,'Big Board (by rank)'!I:I))</f>
        <v>9</v>
      </c>
      <c r="B10" s="6">
        <v>11.0</v>
      </c>
      <c r="C10" s="6">
        <v>11.0</v>
      </c>
      <c r="D10" s="6">
        <v>11.0</v>
      </c>
      <c r="E10" s="7" t="s">
        <v>46</v>
      </c>
      <c r="F10" s="7" t="s">
        <v>47</v>
      </c>
      <c r="G10" s="6" t="s">
        <v>38</v>
      </c>
      <c r="H10" s="6">
        <v>2.0</v>
      </c>
      <c r="I10" s="8">
        <v>84.2</v>
      </c>
      <c r="J10" s="9">
        <v>9.0</v>
      </c>
      <c r="K10" s="8" t="s">
        <v>48</v>
      </c>
    </row>
    <row r="11">
      <c r="A11" s="11">
        <f>IF(SUMIF('Big Board (by rank)'!D:D,E11,'Big Board (by rank)'!I:I)=0,"",SUMIF('Big Board (by rank)'!D:D,E11,'Big Board (by rank)'!I:I))</f>
        <v>10</v>
      </c>
      <c r="B11" s="6">
        <v>8.0</v>
      </c>
      <c r="C11" s="6">
        <v>7.0</v>
      </c>
      <c r="D11" s="6">
        <v>10.0</v>
      </c>
      <c r="E11" s="7" t="s">
        <v>37</v>
      </c>
      <c r="F11" s="7" t="s">
        <v>31</v>
      </c>
      <c r="G11" s="6" t="s">
        <v>38</v>
      </c>
      <c r="H11" s="6">
        <v>1.0</v>
      </c>
      <c r="I11" s="8">
        <v>79.2</v>
      </c>
      <c r="J11" s="9">
        <v>10.0</v>
      </c>
      <c r="K11" s="8" t="s">
        <v>20</v>
      </c>
    </row>
    <row r="12">
      <c r="A12" s="11">
        <f>IF(SUMIF('Big Board (by rank)'!D:D,E12,'Big Board (by rank)'!I:I)=0,"",SUMIF('Big Board (by rank)'!D:D,E12,'Big Board (by rank)'!I:I))</f>
        <v>11</v>
      </c>
      <c r="B12" s="6">
        <v>4.0</v>
      </c>
      <c r="C12" s="6">
        <v>5.0</v>
      </c>
      <c r="D12" s="6">
        <v>4.0</v>
      </c>
      <c r="E12" s="7" t="s">
        <v>25</v>
      </c>
      <c r="F12" s="7" t="s">
        <v>18</v>
      </c>
      <c r="G12" s="6" t="s">
        <v>26</v>
      </c>
      <c r="H12" s="6">
        <v>1.0</v>
      </c>
      <c r="I12" s="8">
        <v>79.7</v>
      </c>
      <c r="J12" s="9">
        <v>11.0</v>
      </c>
      <c r="K12" s="8" t="s">
        <v>27</v>
      </c>
    </row>
    <row r="13">
      <c r="A13" s="11">
        <f>IF(SUMIF('Big Board (by rank)'!D:D,E13,'Big Board (by rank)'!I:I)=0,"",SUMIF('Big Board (by rank)'!D:D,E13,'Big Board (by rank)'!I:I))</f>
        <v>12</v>
      </c>
      <c r="B13" s="6">
        <v>19.0</v>
      </c>
      <c r="C13" s="6">
        <v>18.0</v>
      </c>
      <c r="D13" s="6">
        <v>19.0</v>
      </c>
      <c r="E13" s="7" t="s">
        <v>69</v>
      </c>
      <c r="F13" s="7" t="s">
        <v>70</v>
      </c>
      <c r="G13" s="6" t="s">
        <v>38</v>
      </c>
      <c r="H13" s="6">
        <v>4.0</v>
      </c>
      <c r="I13" s="8">
        <v>106.4</v>
      </c>
      <c r="J13" s="9">
        <v>12.0</v>
      </c>
      <c r="K13" s="8" t="s">
        <v>71</v>
      </c>
    </row>
    <row r="14">
      <c r="A14" s="11">
        <f>IF(SUMIF('Big Board (by rank)'!D:D,E14,'Big Board (by rank)'!I:I)=0,"",SUMIF('Big Board (by rank)'!D:D,E14,'Big Board (by rank)'!I:I))</f>
        <v>13</v>
      </c>
      <c r="B14" s="6">
        <v>38.0</v>
      </c>
      <c r="C14" s="6">
        <v>35.0</v>
      </c>
      <c r="D14" s="6">
        <v>38.0</v>
      </c>
      <c r="E14" s="7" t="s">
        <v>109</v>
      </c>
      <c r="F14" s="7" t="s">
        <v>70</v>
      </c>
      <c r="G14" s="6" t="s">
        <v>15</v>
      </c>
      <c r="H14" s="6">
        <v>2.0</v>
      </c>
      <c r="I14" s="8">
        <v>105.1</v>
      </c>
      <c r="J14" s="9">
        <v>13.0</v>
      </c>
      <c r="K14" s="8" t="s">
        <v>110</v>
      </c>
    </row>
    <row r="15">
      <c r="A15" s="11">
        <f>IF(SUMIF('Big Board (by rank)'!D:D,E15,'Big Board (by rank)'!I:I)=0,"",SUMIF('Big Board (by rank)'!D:D,E15,'Big Board (by rank)'!I:I))</f>
        <v>14</v>
      </c>
      <c r="B15" s="6">
        <v>13.0</v>
      </c>
      <c r="C15" s="6">
        <v>13.0</v>
      </c>
      <c r="D15" s="6">
        <v>15.0</v>
      </c>
      <c r="E15" s="7" t="s">
        <v>52</v>
      </c>
      <c r="F15" s="7" t="s">
        <v>53</v>
      </c>
      <c r="G15" s="6" t="s">
        <v>54</v>
      </c>
      <c r="H15" s="6">
        <v>1.0</v>
      </c>
      <c r="I15" s="8">
        <v>84.2</v>
      </c>
      <c r="J15" s="9">
        <v>14.0</v>
      </c>
      <c r="K15" s="8" t="s">
        <v>55</v>
      </c>
    </row>
    <row r="16">
      <c r="A16" s="11">
        <f>IF(SUMIF('Big Board (by rank)'!D:D,E16,'Big Board (by rank)'!I:I)=0,"",SUMIF('Big Board (by rank)'!D:D,E16,'Big Board (by rank)'!I:I))</f>
        <v>15</v>
      </c>
      <c r="B16" s="6">
        <v>6.0</v>
      </c>
      <c r="C16" s="6">
        <v>8.0</v>
      </c>
      <c r="D16" s="6">
        <v>6.0</v>
      </c>
      <c r="E16" s="7" t="s">
        <v>30</v>
      </c>
      <c r="F16" s="7" t="s">
        <v>31</v>
      </c>
      <c r="G16" s="6" t="s">
        <v>32</v>
      </c>
      <c r="H16" s="6">
        <v>1.0</v>
      </c>
      <c r="I16" s="8">
        <v>84.3</v>
      </c>
      <c r="J16" s="9">
        <v>15.0</v>
      </c>
      <c r="K16" s="8" t="s">
        <v>33</v>
      </c>
    </row>
    <row r="17">
      <c r="A17" s="11">
        <f>IF(SUMIF('Big Board (by rank)'!D:D,E17,'Big Board (by rank)'!I:I)=0,"",SUMIF('Big Board (by rank)'!D:D,E17,'Big Board (by rank)'!I:I))</f>
        <v>16</v>
      </c>
      <c r="B17" s="6">
        <v>16.0</v>
      </c>
      <c r="C17" s="6">
        <v>16.0</v>
      </c>
      <c r="D17" s="6">
        <v>16.0</v>
      </c>
      <c r="E17" s="7" t="s">
        <v>61</v>
      </c>
      <c r="F17" s="7" t="s">
        <v>62</v>
      </c>
      <c r="G17" s="6" t="s">
        <v>63</v>
      </c>
      <c r="H17" s="6">
        <v>1.0</v>
      </c>
      <c r="I17" s="8">
        <v>81.1</v>
      </c>
      <c r="J17" s="9">
        <v>16.0</v>
      </c>
      <c r="K17" s="8" t="s">
        <v>36</v>
      </c>
    </row>
    <row r="18">
      <c r="A18" s="11">
        <f>IF(SUMIF('Big Board (by rank)'!D:D,E18,'Big Board (by rank)'!I:I)=0,"",SUMIF('Big Board (by rank)'!D:D,E18,'Big Board (by rank)'!I:I))</f>
        <v>17</v>
      </c>
      <c r="B18" s="6">
        <v>31.0</v>
      </c>
      <c r="C18" s="6">
        <v>28.0</v>
      </c>
      <c r="D18" s="6">
        <v>31.0</v>
      </c>
      <c r="E18" s="7" t="s">
        <v>95</v>
      </c>
      <c r="F18" s="7" t="s">
        <v>75</v>
      </c>
      <c r="G18" s="6" t="s">
        <v>38</v>
      </c>
      <c r="H18" s="6">
        <v>6.0</v>
      </c>
      <c r="I18" s="8">
        <v>91.0</v>
      </c>
      <c r="J18" s="9">
        <v>17.0</v>
      </c>
      <c r="K18" s="8" t="s">
        <v>96</v>
      </c>
    </row>
    <row r="19">
      <c r="A19" s="11">
        <f>IF(SUMIF('Big Board (by rank)'!D:D,E19,'Big Board (by rank)'!I:I)=0,"",SUMIF('Big Board (by rank)'!D:D,E19,'Big Board (by rank)'!I:I))</f>
        <v>18</v>
      </c>
      <c r="B19" s="6">
        <v>37.0</v>
      </c>
      <c r="C19" s="6">
        <v>40.0</v>
      </c>
      <c r="D19" s="6">
        <v>36.0</v>
      </c>
      <c r="E19" s="7" t="s">
        <v>106</v>
      </c>
      <c r="F19" s="7" t="s">
        <v>107</v>
      </c>
      <c r="G19" s="6" t="s">
        <v>91</v>
      </c>
      <c r="H19" s="6">
        <v>2.0</v>
      </c>
      <c r="I19" s="8">
        <v>91.9</v>
      </c>
      <c r="J19" s="9">
        <v>18.0</v>
      </c>
      <c r="K19" s="8" t="s">
        <v>108</v>
      </c>
    </row>
    <row r="20">
      <c r="A20" s="11">
        <f>IF(SUMIF('Big Board (by rank)'!D:D,E20,'Big Board (by rank)'!I:I)=0,"",SUMIF('Big Board (by rank)'!D:D,E20,'Big Board (by rank)'!I:I))</f>
        <v>19</v>
      </c>
      <c r="B20" s="6">
        <v>18.0</v>
      </c>
      <c r="C20" s="6">
        <v>17.0</v>
      </c>
      <c r="D20" s="6">
        <v>18.0</v>
      </c>
      <c r="E20" s="7" t="s">
        <v>66</v>
      </c>
      <c r="F20" s="7" t="s">
        <v>67</v>
      </c>
      <c r="G20" s="6" t="s">
        <v>38</v>
      </c>
      <c r="H20" s="6">
        <v>3.0</v>
      </c>
      <c r="I20" s="8">
        <v>99.2</v>
      </c>
      <c r="J20" s="9">
        <v>19.0</v>
      </c>
      <c r="K20" s="8" t="s">
        <v>68</v>
      </c>
    </row>
    <row r="21">
      <c r="A21" s="11">
        <f>IF(SUMIF('Big Board (by rank)'!D:D,E21,'Big Board (by rank)'!I:I)=0,"",SUMIF('Big Board (by rank)'!D:D,E21,'Big Board (by rank)'!I:I))</f>
        <v>20</v>
      </c>
      <c r="B21" s="6">
        <v>12.0</v>
      </c>
      <c r="C21" s="6">
        <v>12.0</v>
      </c>
      <c r="D21" s="6">
        <v>14.0</v>
      </c>
      <c r="E21" s="7" t="s">
        <v>49</v>
      </c>
      <c r="F21" s="7" t="s">
        <v>50</v>
      </c>
      <c r="G21" s="6" t="s">
        <v>40</v>
      </c>
      <c r="H21" s="6">
        <v>2.0</v>
      </c>
      <c r="I21" s="8">
        <v>82.4</v>
      </c>
      <c r="J21" s="9">
        <v>20.0</v>
      </c>
      <c r="K21" s="8" t="s">
        <v>51</v>
      </c>
    </row>
    <row r="22">
      <c r="A22" s="11">
        <f>IF(SUMIF('Big Board (by rank)'!D:D,E22,'Big Board (by rank)'!I:I)=0,"",SUMIF('Big Board (by rank)'!D:D,E22,'Big Board (by rank)'!I:I))</f>
        <v>21</v>
      </c>
      <c r="B22" s="6">
        <v>33.0</v>
      </c>
      <c r="C22" s="6">
        <v>36.0</v>
      </c>
      <c r="D22" s="6">
        <v>33.0</v>
      </c>
      <c r="E22" s="7" t="s">
        <v>98</v>
      </c>
      <c r="F22" s="7" t="s">
        <v>59</v>
      </c>
      <c r="G22" s="6" t="s">
        <v>38</v>
      </c>
      <c r="H22" s="6">
        <v>7.0</v>
      </c>
      <c r="I22" s="8">
        <v>92.4</v>
      </c>
      <c r="J22" s="9">
        <v>21.0</v>
      </c>
      <c r="K22" s="8" t="s">
        <v>99</v>
      </c>
    </row>
    <row r="23">
      <c r="A23" s="11">
        <f>IF(SUMIF('Big Board (by rank)'!D:D,E23,'Big Board (by rank)'!I:I)=0,"",SUMIF('Big Board (by rank)'!D:D,E23,'Big Board (by rank)'!I:I))</f>
        <v>22</v>
      </c>
      <c r="B23" s="6">
        <v>22.0</v>
      </c>
      <c r="C23" s="6">
        <v>21.0</v>
      </c>
      <c r="D23" s="6">
        <v>22.0</v>
      </c>
      <c r="E23" s="7" t="s">
        <v>77</v>
      </c>
      <c r="F23" s="7" t="s">
        <v>31</v>
      </c>
      <c r="G23" s="6" t="s">
        <v>32</v>
      </c>
      <c r="H23" s="6">
        <v>4.0</v>
      </c>
      <c r="I23" s="8">
        <v>108.7</v>
      </c>
      <c r="J23" s="9">
        <v>22.0</v>
      </c>
      <c r="K23" s="8" t="s">
        <v>78</v>
      </c>
    </row>
    <row r="24">
      <c r="A24" s="11">
        <f>IF(SUMIF('Big Board (by rank)'!D:D,E24,'Big Board (by rank)'!I:I)=0,"",SUMIF('Big Board (by rank)'!D:D,E24,'Big Board (by rank)'!I:I))</f>
        <v>23</v>
      </c>
      <c r="B24" s="6">
        <v>48.0</v>
      </c>
      <c r="C24" s="6">
        <v>49.0</v>
      </c>
      <c r="D24" s="6">
        <v>48.0</v>
      </c>
      <c r="E24" s="7" t="s">
        <v>125</v>
      </c>
      <c r="F24" s="7" t="s">
        <v>126</v>
      </c>
      <c r="G24" s="6" t="s">
        <v>32</v>
      </c>
      <c r="H24" s="6">
        <v>9.0</v>
      </c>
      <c r="I24" s="8">
        <v>94.2</v>
      </c>
      <c r="J24" s="9">
        <v>23.0</v>
      </c>
      <c r="K24" s="8" t="s">
        <v>27</v>
      </c>
    </row>
    <row r="25">
      <c r="A25" s="11">
        <f>IF(SUMIF('Big Board (by rank)'!D:D,E25,'Big Board (by rank)'!I:I)=0,"",SUMIF('Big Board (by rank)'!D:D,E25,'Big Board (by rank)'!I:I))</f>
        <v>24</v>
      </c>
      <c r="B25" s="6">
        <v>23.0</v>
      </c>
      <c r="C25" s="6">
        <v>24.0</v>
      </c>
      <c r="D25" s="6">
        <v>24.0</v>
      </c>
      <c r="E25" s="7" t="s">
        <v>79</v>
      </c>
      <c r="F25" s="7" t="s">
        <v>80</v>
      </c>
      <c r="G25" s="6" t="s">
        <v>40</v>
      </c>
      <c r="H25" s="6">
        <v>4.0</v>
      </c>
      <c r="I25" s="8">
        <v>92.8</v>
      </c>
      <c r="J25" s="9">
        <v>24.0</v>
      </c>
      <c r="K25" s="8" t="s">
        <v>48</v>
      </c>
    </row>
    <row r="26">
      <c r="A26" s="11">
        <f>IF(SUMIF('Big Board (by rank)'!D:D,E26,'Big Board (by rank)'!I:I)=0,"",SUMIF('Big Board (by rank)'!D:D,E26,'Big Board (by rank)'!I:I))</f>
        <v>25</v>
      </c>
      <c r="B26" s="6">
        <v>17.0</v>
      </c>
      <c r="C26" s="6">
        <v>19.0</v>
      </c>
      <c r="D26" s="6">
        <v>17.0</v>
      </c>
      <c r="E26" s="7" t="s">
        <v>64</v>
      </c>
      <c r="F26" s="7" t="s">
        <v>62</v>
      </c>
      <c r="G26" s="6" t="s">
        <v>26</v>
      </c>
      <c r="H26" s="6">
        <v>2.0</v>
      </c>
      <c r="I26" s="8">
        <v>87.4</v>
      </c>
      <c r="J26" s="9">
        <v>25.0</v>
      </c>
      <c r="K26" s="8" t="s">
        <v>65</v>
      </c>
    </row>
    <row r="27">
      <c r="A27" s="11">
        <f>IF(SUMIF('Big Board (by rank)'!D:D,E27,'Big Board (by rank)'!I:I)=0,"",SUMIF('Big Board (by rank)'!D:D,E27,'Big Board (by rank)'!I:I))</f>
        <v>26</v>
      </c>
      <c r="B27" s="6">
        <v>59.0</v>
      </c>
      <c r="C27" s="6">
        <v>57.0</v>
      </c>
      <c r="D27" s="6">
        <v>61.0</v>
      </c>
      <c r="E27" s="7" t="s">
        <v>143</v>
      </c>
      <c r="F27" s="7" t="s">
        <v>144</v>
      </c>
      <c r="G27" s="6" t="s">
        <v>54</v>
      </c>
      <c r="H27" s="6">
        <v>4.0</v>
      </c>
      <c r="I27" s="8">
        <v>93.7</v>
      </c>
      <c r="J27" s="9">
        <v>26.0</v>
      </c>
      <c r="K27" s="8" t="s">
        <v>92</v>
      </c>
    </row>
    <row r="28">
      <c r="A28" s="11">
        <f>IF(SUMIF('Big Board (by rank)'!D:D,E28,'Big Board (by rank)'!I:I)=0,"",SUMIF('Big Board (by rank)'!D:D,E28,'Big Board (by rank)'!I:I))</f>
        <v>27</v>
      </c>
      <c r="B28" s="6">
        <v>34.0</v>
      </c>
      <c r="C28" s="6">
        <v>33.0</v>
      </c>
      <c r="D28" s="6">
        <v>35.0</v>
      </c>
      <c r="E28" s="7" t="s">
        <v>100</v>
      </c>
      <c r="F28" s="7" t="s">
        <v>101</v>
      </c>
      <c r="G28" s="6" t="s">
        <v>44</v>
      </c>
      <c r="H28" s="6">
        <v>5.0</v>
      </c>
      <c r="I28" s="8">
        <v>92.8</v>
      </c>
      <c r="J28" s="9">
        <v>27.0</v>
      </c>
      <c r="K28" s="8" t="s">
        <v>71</v>
      </c>
    </row>
    <row r="29">
      <c r="A29" s="11">
        <f>IF(SUMIF('Big Board (by rank)'!D:D,E29,'Big Board (by rank)'!I:I)=0,"",SUMIF('Big Board (by rank)'!D:D,E29,'Big Board (by rank)'!I:I))</f>
        <v>28</v>
      </c>
      <c r="B29" s="6">
        <v>28.0</v>
      </c>
      <c r="C29" s="6">
        <v>26.0</v>
      </c>
      <c r="D29" s="6">
        <v>28.0</v>
      </c>
      <c r="E29" s="7" t="s">
        <v>88</v>
      </c>
      <c r="F29" s="7" t="s">
        <v>47</v>
      </c>
      <c r="G29" s="6" t="s">
        <v>38</v>
      </c>
      <c r="H29" s="6">
        <v>5.0</v>
      </c>
      <c r="I29" s="8">
        <v>87.4</v>
      </c>
      <c r="J29" s="9">
        <v>28.0</v>
      </c>
      <c r="K29" s="8" t="s">
        <v>89</v>
      </c>
    </row>
    <row r="30">
      <c r="A30" s="11">
        <f>IF(SUMIF('Big Board (by rank)'!D:D,E30,'Big Board (by rank)'!I:I)=0,"",SUMIF('Big Board (by rank)'!D:D,E30,'Big Board (by rank)'!I:I))</f>
        <v>29</v>
      </c>
      <c r="B30" s="6">
        <v>26.0</v>
      </c>
      <c r="C30" s="6">
        <v>34.0</v>
      </c>
      <c r="D30" s="6">
        <v>23.0</v>
      </c>
      <c r="E30" s="7" t="s">
        <v>84</v>
      </c>
      <c r="F30" s="7" t="s">
        <v>75</v>
      </c>
      <c r="G30" s="6" t="s">
        <v>85</v>
      </c>
      <c r="H30" s="6">
        <v>1.0</v>
      </c>
      <c r="I30" s="8">
        <v>99.1</v>
      </c>
      <c r="J30" s="9">
        <v>29.0</v>
      </c>
      <c r="K30" s="8" t="s">
        <v>45</v>
      </c>
    </row>
    <row r="31">
      <c r="A31" s="11">
        <f>IF(SUMIF('Big Board (by rank)'!D:D,E31,'Big Board (by rank)'!I:I)=0,"",SUMIF('Big Board (by rank)'!D:D,E31,'Big Board (by rank)'!I:I))</f>
        <v>30</v>
      </c>
      <c r="B31" s="6">
        <v>25.0</v>
      </c>
      <c r="C31" s="6">
        <v>22.0</v>
      </c>
      <c r="D31" s="6">
        <v>26.0</v>
      </c>
      <c r="E31" s="7" t="s">
        <v>83</v>
      </c>
      <c r="F31" s="7" t="s">
        <v>14</v>
      </c>
      <c r="G31" s="6" t="s">
        <v>40</v>
      </c>
      <c r="H31" s="6">
        <v>5.0</v>
      </c>
      <c r="I31" s="8">
        <v>99.2</v>
      </c>
      <c r="J31" s="9">
        <v>30.0</v>
      </c>
      <c r="K31" s="8" t="s">
        <v>36</v>
      </c>
    </row>
    <row r="32">
      <c r="A32" s="11">
        <f>IF(SUMIF('Big Board (by rank)'!D:D,E32,'Big Board (by rank)'!I:I)=0,"",SUMIF('Big Board (by rank)'!D:D,E32,'Big Board (by rank)'!I:I))</f>
        <v>31</v>
      </c>
      <c r="B32" s="6">
        <v>20.0</v>
      </c>
      <c r="C32" s="6">
        <v>20.0</v>
      </c>
      <c r="D32" s="6">
        <v>20.0</v>
      </c>
      <c r="E32" s="7" t="s">
        <v>72</v>
      </c>
      <c r="F32" s="7" t="s">
        <v>73</v>
      </c>
      <c r="G32" s="6" t="s">
        <v>32</v>
      </c>
      <c r="H32" s="6">
        <v>3.0</v>
      </c>
      <c r="I32" s="8">
        <v>118.1</v>
      </c>
      <c r="J32" s="9">
        <v>31.0</v>
      </c>
      <c r="K32" s="8" t="s">
        <v>41</v>
      </c>
    </row>
    <row r="33">
      <c r="A33" s="11">
        <f>IF(SUMIF('Big Board (by rank)'!D:D,E33,'Big Board (by rank)'!I:I)=0,"",SUMIF('Big Board (by rank)'!D:D,E33,'Big Board (by rank)'!I:I))</f>
        <v>32</v>
      </c>
      <c r="B33" s="6">
        <v>53.0</v>
      </c>
      <c r="C33" s="6">
        <v>42.0</v>
      </c>
      <c r="D33" s="6">
        <v>55.0</v>
      </c>
      <c r="E33" s="7" t="s">
        <v>134</v>
      </c>
      <c r="F33" s="7" t="s">
        <v>22</v>
      </c>
      <c r="G33" s="6" t="s">
        <v>23</v>
      </c>
      <c r="H33" s="6">
        <v>2.0</v>
      </c>
      <c r="I33" s="8">
        <v>89.7</v>
      </c>
      <c r="J33" s="9">
        <v>32.0</v>
      </c>
      <c r="K33" s="8" t="s">
        <v>135</v>
      </c>
    </row>
    <row r="34">
      <c r="A34" s="11">
        <f>IF(SUMIF('Big Board (by rank)'!D:D,E34,'Big Board (by rank)'!I:I)=0,"",SUMIF('Big Board (by rank)'!D:D,E34,'Big Board (by rank)'!I:I))</f>
        <v>33</v>
      </c>
      <c r="B34" s="6">
        <v>99.0</v>
      </c>
      <c r="C34" s="6">
        <v>89.0</v>
      </c>
      <c r="D34" s="6">
        <v>100.0</v>
      </c>
      <c r="E34" s="7" t="s">
        <v>201</v>
      </c>
      <c r="F34" s="7" t="s">
        <v>202</v>
      </c>
      <c r="G34" s="6" t="s">
        <v>40</v>
      </c>
      <c r="H34" s="6">
        <v>18.0</v>
      </c>
      <c r="I34" s="8">
        <v>119.5</v>
      </c>
      <c r="J34" s="9">
        <v>33.0</v>
      </c>
      <c r="K34" s="8" t="s">
        <v>173</v>
      </c>
    </row>
    <row r="35">
      <c r="A35" s="11">
        <f>IF(SUMIF('Big Board (by rank)'!D:D,E35,'Big Board (by rank)'!I:I)=0,"",SUMIF('Big Board (by rank)'!D:D,E35,'Big Board (by rank)'!I:I))</f>
        <v>34</v>
      </c>
      <c r="B35" s="6">
        <v>46.0</v>
      </c>
      <c r="C35" s="6">
        <v>43.0</v>
      </c>
      <c r="D35" s="6">
        <v>46.0</v>
      </c>
      <c r="E35" s="7" t="s">
        <v>122</v>
      </c>
      <c r="F35" s="7" t="s">
        <v>80</v>
      </c>
      <c r="G35" s="6" t="s">
        <v>54</v>
      </c>
      <c r="H35" s="6">
        <v>3.0</v>
      </c>
      <c r="I35" s="8">
        <v>84.7</v>
      </c>
      <c r="J35" s="9">
        <v>34.0</v>
      </c>
      <c r="K35" s="8" t="s">
        <v>24</v>
      </c>
    </row>
    <row r="36">
      <c r="A36" s="11">
        <f>IF(SUMIF('Big Board (by rank)'!D:D,E36,'Big Board (by rank)'!I:I)=0,"",SUMIF('Big Board (by rank)'!D:D,E36,'Big Board (by rank)'!I:I))</f>
        <v>35</v>
      </c>
      <c r="B36" s="6">
        <v>30.0</v>
      </c>
      <c r="C36" s="6">
        <v>31.0</v>
      </c>
      <c r="D36" s="6">
        <v>30.0</v>
      </c>
      <c r="E36" s="7" t="s">
        <v>93</v>
      </c>
      <c r="F36" s="7" t="s">
        <v>75</v>
      </c>
      <c r="G36" s="6" t="s">
        <v>32</v>
      </c>
      <c r="H36" s="6">
        <v>5.0</v>
      </c>
      <c r="I36" s="8">
        <v>93.7</v>
      </c>
      <c r="J36" s="9">
        <v>35.0</v>
      </c>
      <c r="K36" s="8" t="s">
        <v>94</v>
      </c>
    </row>
    <row r="37">
      <c r="A37" s="11">
        <f>IF(SUMIF('Big Board (by rank)'!D:D,E37,'Big Board (by rank)'!I:I)=0,"",SUMIF('Big Board (by rank)'!D:D,E37,'Big Board (by rank)'!I:I))</f>
        <v>36</v>
      </c>
      <c r="B37" s="6">
        <v>29.0</v>
      </c>
      <c r="C37" s="6">
        <v>30.0</v>
      </c>
      <c r="D37" s="6">
        <v>29.0</v>
      </c>
      <c r="E37" s="7" t="s">
        <v>90</v>
      </c>
      <c r="F37" s="7" t="s">
        <v>18</v>
      </c>
      <c r="G37" s="6" t="s">
        <v>91</v>
      </c>
      <c r="H37" s="6">
        <v>1.0</v>
      </c>
      <c r="I37" s="8">
        <v>82.5</v>
      </c>
      <c r="J37" s="9">
        <v>36.0</v>
      </c>
      <c r="K37" s="8" t="s">
        <v>92</v>
      </c>
    </row>
    <row r="38">
      <c r="A38" s="11">
        <f>IF(SUMIF('Big Board (by rank)'!D:D,E38,'Big Board (by rank)'!I:I)=0,"",SUMIF('Big Board (by rank)'!D:D,E38,'Big Board (by rank)'!I:I))</f>
        <v>37</v>
      </c>
      <c r="B38" s="6">
        <v>32.0</v>
      </c>
      <c r="C38" s="6">
        <v>27.0</v>
      </c>
      <c r="D38" s="6">
        <v>32.0</v>
      </c>
      <c r="E38" s="7" t="s">
        <v>97</v>
      </c>
      <c r="F38" s="7" t="s">
        <v>57</v>
      </c>
      <c r="G38" s="6" t="s">
        <v>44</v>
      </c>
      <c r="H38" s="6">
        <v>4.0</v>
      </c>
      <c r="I38" s="8">
        <v>87.0</v>
      </c>
      <c r="J38" s="9">
        <v>37.0</v>
      </c>
      <c r="K38" s="8" t="s">
        <v>20</v>
      </c>
    </row>
    <row r="39">
      <c r="A39" s="11">
        <f>IF(SUMIF('Big Board (by rank)'!D:D,E39,'Big Board (by rank)'!I:I)=0,"",SUMIF('Big Board (by rank)'!D:D,E39,'Big Board (by rank)'!I:I))</f>
        <v>38</v>
      </c>
      <c r="B39" s="6">
        <v>60.0</v>
      </c>
      <c r="C39" s="6">
        <v>66.0</v>
      </c>
      <c r="D39" s="6">
        <v>57.0</v>
      </c>
      <c r="E39" s="7" t="s">
        <v>145</v>
      </c>
      <c r="F39" s="7" t="s">
        <v>146</v>
      </c>
      <c r="G39" s="6" t="s">
        <v>44</v>
      </c>
      <c r="H39" s="6">
        <v>9.0</v>
      </c>
      <c r="I39" s="8">
        <v>99.2</v>
      </c>
      <c r="J39" s="9">
        <v>38.0</v>
      </c>
      <c r="K39" s="8" t="s">
        <v>16</v>
      </c>
    </row>
    <row r="40">
      <c r="A40" s="11">
        <f>IF(SUMIF('Big Board (by rank)'!D:D,E40,'Big Board (by rank)'!I:I)=0,"",SUMIF('Big Board (by rank)'!D:D,E40,'Big Board (by rank)'!I:I))</f>
        <v>39</v>
      </c>
      <c r="B40" s="6">
        <v>27.0</v>
      </c>
      <c r="C40" s="6">
        <v>25.0</v>
      </c>
      <c r="D40" s="6">
        <v>27.0</v>
      </c>
      <c r="E40" s="7" t="s">
        <v>86</v>
      </c>
      <c r="F40" s="7" t="s">
        <v>87</v>
      </c>
      <c r="G40" s="6" t="s">
        <v>40</v>
      </c>
      <c r="H40" s="6">
        <v>6.0</v>
      </c>
      <c r="I40" s="8">
        <v>84.7</v>
      </c>
      <c r="J40" s="9">
        <v>39.0</v>
      </c>
      <c r="K40" s="8" t="s">
        <v>48</v>
      </c>
    </row>
    <row r="41">
      <c r="A41" s="11">
        <f>IF(SUMIF('Big Board (by rank)'!D:D,E41,'Big Board (by rank)'!I:I)=0,"",SUMIF('Big Board (by rank)'!D:D,E41,'Big Board (by rank)'!I:I))</f>
        <v>40</v>
      </c>
      <c r="B41" s="6">
        <v>47.0</v>
      </c>
      <c r="C41" s="6">
        <v>51.0</v>
      </c>
      <c r="D41" s="6">
        <v>47.0</v>
      </c>
      <c r="E41" s="7" t="s">
        <v>123</v>
      </c>
      <c r="F41" s="7" t="s">
        <v>124</v>
      </c>
      <c r="G41" s="6" t="s">
        <v>32</v>
      </c>
      <c r="H41" s="6">
        <v>8.0</v>
      </c>
      <c r="I41" s="8">
        <v>85.6</v>
      </c>
      <c r="J41" s="9">
        <v>40.0</v>
      </c>
      <c r="K41" s="8" t="s">
        <v>45</v>
      </c>
    </row>
    <row r="42">
      <c r="A42" s="11">
        <f>IF(SUMIF('Big Board (by rank)'!D:D,E42,'Big Board (by rank)'!I:I)=0,"",SUMIF('Big Board (by rank)'!D:D,E42,'Big Board (by rank)'!I:I))</f>
        <v>41</v>
      </c>
      <c r="B42" s="6">
        <v>36.0</v>
      </c>
      <c r="C42" s="6">
        <v>32.0</v>
      </c>
      <c r="D42" s="6">
        <v>37.0</v>
      </c>
      <c r="E42" s="7" t="s">
        <v>104</v>
      </c>
      <c r="F42" s="7" t="s">
        <v>80</v>
      </c>
      <c r="G42" s="6" t="s">
        <v>32</v>
      </c>
      <c r="H42" s="6">
        <v>6.0</v>
      </c>
      <c r="I42" s="8">
        <v>91.0</v>
      </c>
      <c r="J42" s="9">
        <v>41.0</v>
      </c>
      <c r="K42" s="8" t="s">
        <v>105</v>
      </c>
    </row>
    <row r="43">
      <c r="A43" s="11">
        <f>IF(SUMIF('Big Board (by rank)'!D:D,E43,'Big Board (by rank)'!I:I)=0,"",SUMIF('Big Board (by rank)'!D:D,E43,'Big Board (by rank)'!I:I))</f>
        <v>42</v>
      </c>
      <c r="B43" s="6">
        <v>42.0</v>
      </c>
      <c r="C43" s="6">
        <v>44.0</v>
      </c>
      <c r="D43" s="6">
        <v>44.0</v>
      </c>
      <c r="E43" s="7" t="s">
        <v>116</v>
      </c>
      <c r="F43" s="7" t="s">
        <v>67</v>
      </c>
      <c r="G43" s="6" t="s">
        <v>91</v>
      </c>
      <c r="H43" s="6">
        <v>3.0</v>
      </c>
      <c r="I43" s="8">
        <v>90.2</v>
      </c>
      <c r="J43" s="9">
        <v>42.0</v>
      </c>
      <c r="K43" s="8" t="s">
        <v>60</v>
      </c>
    </row>
    <row r="44">
      <c r="A44" s="11">
        <f>IF(SUMIF('Big Board (by rank)'!D:D,E44,'Big Board (by rank)'!I:I)=0,"",SUMIF('Big Board (by rank)'!D:D,E44,'Big Board (by rank)'!I:I))</f>
        <v>43</v>
      </c>
      <c r="B44" s="6">
        <v>43.0</v>
      </c>
      <c r="C44" s="6">
        <v>41.0</v>
      </c>
      <c r="D44" s="6">
        <v>43.0</v>
      </c>
      <c r="E44" s="7" t="s">
        <v>117</v>
      </c>
      <c r="F44" s="7" t="s">
        <v>35</v>
      </c>
      <c r="G44" s="6" t="s">
        <v>19</v>
      </c>
      <c r="H44" s="6">
        <v>4.0</v>
      </c>
      <c r="I44" s="8">
        <v>87.4</v>
      </c>
      <c r="J44" s="9">
        <v>43.0</v>
      </c>
      <c r="K44" s="8" t="s">
        <v>71</v>
      </c>
    </row>
    <row r="45">
      <c r="A45" s="11">
        <f>IF(SUMIF('Big Board (by rank)'!D:D,E45,'Big Board (by rank)'!I:I)=0,"",SUMIF('Big Board (by rank)'!D:D,E45,'Big Board (by rank)'!I:I))</f>
        <v>44</v>
      </c>
      <c r="B45" s="6">
        <v>63.0</v>
      </c>
      <c r="C45" s="6">
        <v>61.0</v>
      </c>
      <c r="D45" s="6">
        <v>62.0</v>
      </c>
      <c r="E45" s="7" t="s">
        <v>149</v>
      </c>
      <c r="F45" s="7" t="s">
        <v>150</v>
      </c>
      <c r="G45" s="6" t="s">
        <v>32</v>
      </c>
      <c r="H45" s="6">
        <v>11.0</v>
      </c>
      <c r="I45" s="8">
        <v>96.0</v>
      </c>
      <c r="J45" s="9">
        <v>44.0</v>
      </c>
      <c r="K45" s="8" t="s">
        <v>96</v>
      </c>
    </row>
    <row r="46">
      <c r="A46" s="11">
        <f>IF(SUMIF('Big Board (by rank)'!D:D,E46,'Big Board (by rank)'!I:I)=0,"",SUMIF('Big Board (by rank)'!D:D,E46,'Big Board (by rank)'!I:I))</f>
        <v>45</v>
      </c>
      <c r="B46" s="6">
        <v>39.0</v>
      </c>
      <c r="C46" s="6">
        <v>37.0</v>
      </c>
      <c r="D46" s="6">
        <v>39.0</v>
      </c>
      <c r="E46" s="7" t="s">
        <v>111</v>
      </c>
      <c r="F46" s="7" t="s">
        <v>112</v>
      </c>
      <c r="G46" s="6" t="s">
        <v>32</v>
      </c>
      <c r="H46" s="6">
        <v>7.0</v>
      </c>
      <c r="I46" s="8">
        <v>93.8</v>
      </c>
      <c r="J46" s="9">
        <v>45.0</v>
      </c>
      <c r="K46" s="8" t="s">
        <v>55</v>
      </c>
    </row>
    <row r="47">
      <c r="A47" s="11">
        <f>IF(SUMIF('Big Board (by rank)'!D:D,E47,'Big Board (by rank)'!I:I)=0,"",SUMIF('Big Board (by rank)'!D:D,E47,'Big Board (by rank)'!I:I))</f>
        <v>46</v>
      </c>
      <c r="B47" s="6">
        <v>62.0</v>
      </c>
      <c r="C47" s="6">
        <v>60.0</v>
      </c>
      <c r="D47" s="6">
        <v>63.0</v>
      </c>
      <c r="E47" s="7" t="s">
        <v>148</v>
      </c>
      <c r="F47" s="7" t="s">
        <v>112</v>
      </c>
      <c r="G47" s="6" t="s">
        <v>19</v>
      </c>
      <c r="H47" s="6">
        <v>7.0</v>
      </c>
      <c r="I47" s="8">
        <v>88.8</v>
      </c>
      <c r="J47" s="9">
        <v>46.0</v>
      </c>
      <c r="K47" s="8" t="s">
        <v>33</v>
      </c>
    </row>
    <row r="48">
      <c r="A48" s="11">
        <f>IF(SUMIF('Big Board (by rank)'!D:D,E48,'Big Board (by rank)'!I:I)=0,"",SUMIF('Big Board (by rank)'!D:D,E48,'Big Board (by rank)'!I:I))</f>
        <v>47</v>
      </c>
      <c r="B48" s="6">
        <v>51.0</v>
      </c>
      <c r="C48" s="6">
        <v>50.0</v>
      </c>
      <c r="D48" s="6">
        <v>51.0</v>
      </c>
      <c r="E48" s="7" t="s">
        <v>131</v>
      </c>
      <c r="F48" s="7" t="s">
        <v>70</v>
      </c>
      <c r="G48" s="6" t="s">
        <v>40</v>
      </c>
      <c r="H48" s="6">
        <v>7.0</v>
      </c>
      <c r="I48" s="8">
        <v>84.2</v>
      </c>
      <c r="J48" s="9">
        <v>47.0</v>
      </c>
      <c r="K48" s="8" t="s">
        <v>99</v>
      </c>
    </row>
    <row r="49">
      <c r="A49" s="11">
        <f>IF(SUMIF('Big Board (by rank)'!D:D,E49,'Big Board (by rank)'!I:I)=0,"",SUMIF('Big Board (by rank)'!D:D,E49,'Big Board (by rank)'!I:I))</f>
        <v>48</v>
      </c>
      <c r="B49" s="6">
        <v>21.0</v>
      </c>
      <c r="C49" s="6">
        <v>29.0</v>
      </c>
      <c r="D49" s="6">
        <v>21.0</v>
      </c>
      <c r="E49" s="7" t="s">
        <v>74</v>
      </c>
      <c r="F49" s="7" t="s">
        <v>75</v>
      </c>
      <c r="G49" s="6" t="s">
        <v>44</v>
      </c>
      <c r="H49" s="6">
        <v>3.0</v>
      </c>
      <c r="I49" s="8">
        <v>109.6</v>
      </c>
      <c r="J49" s="9">
        <v>48.0</v>
      </c>
      <c r="K49" s="8" t="s">
        <v>76</v>
      </c>
    </row>
    <row r="50">
      <c r="A50" s="11">
        <f>IF(SUMIF('Big Board (by rank)'!D:D,E50,'Big Board (by rank)'!I:I)=0,"",SUMIF('Big Board (by rank)'!D:D,E50,'Big Board (by rank)'!I:I))</f>
        <v>49</v>
      </c>
      <c r="B50" s="6">
        <v>45.0</v>
      </c>
      <c r="C50" s="6">
        <v>47.0</v>
      </c>
      <c r="D50" s="6">
        <v>45.0</v>
      </c>
      <c r="E50" s="7" t="s">
        <v>121</v>
      </c>
      <c r="F50" s="7" t="s">
        <v>35</v>
      </c>
      <c r="G50" s="6" t="s">
        <v>91</v>
      </c>
      <c r="H50" s="6">
        <v>4.0</v>
      </c>
      <c r="I50" s="8">
        <v>94.6</v>
      </c>
      <c r="J50" s="9">
        <v>49.0</v>
      </c>
      <c r="K50" s="8" t="s">
        <v>68</v>
      </c>
    </row>
    <row r="51">
      <c r="A51" s="11">
        <f>IF(SUMIF('Big Board (by rank)'!D:D,E51,'Big Board (by rank)'!I:I)=0,"",SUMIF('Big Board (by rank)'!D:D,E51,'Big Board (by rank)'!I:I))</f>
        <v>50</v>
      </c>
      <c r="B51" s="6">
        <v>40.0</v>
      </c>
      <c r="C51" s="6">
        <v>46.0</v>
      </c>
      <c r="D51" s="6">
        <v>40.0</v>
      </c>
      <c r="E51" s="7" t="s">
        <v>113</v>
      </c>
      <c r="F51" s="7" t="s">
        <v>14</v>
      </c>
      <c r="G51" s="6" t="s">
        <v>44</v>
      </c>
      <c r="H51" s="6">
        <v>6.0</v>
      </c>
      <c r="I51" s="8">
        <v>88.3</v>
      </c>
      <c r="J51" s="9">
        <v>50.0</v>
      </c>
      <c r="K51" s="8" t="s">
        <v>36</v>
      </c>
    </row>
    <row r="52">
      <c r="A52" s="11">
        <f>IF(SUMIF('Big Board (by rank)'!D:D,E52,'Big Board (by rank)'!I:I)=0,"",SUMIF('Big Board (by rank)'!D:D,E52,'Big Board (by rank)'!I:I))</f>
        <v>51</v>
      </c>
      <c r="B52" s="6">
        <v>52.0</v>
      </c>
      <c r="C52" s="6">
        <v>53.0</v>
      </c>
      <c r="D52" s="6">
        <v>53.0</v>
      </c>
      <c r="E52" s="7" t="s">
        <v>132</v>
      </c>
      <c r="F52" s="7" t="s">
        <v>133</v>
      </c>
      <c r="G52" s="6" t="s">
        <v>19</v>
      </c>
      <c r="H52" s="6">
        <v>6.0</v>
      </c>
      <c r="I52" s="8">
        <v>81.5</v>
      </c>
      <c r="J52" s="9">
        <v>51.0</v>
      </c>
      <c r="K52" s="8" t="s">
        <v>108</v>
      </c>
    </row>
    <row r="53">
      <c r="A53" s="11">
        <f>IF(SUMIF('Big Board (by rank)'!D:D,E53,'Big Board (by rank)'!I:I)=0,"",SUMIF('Big Board (by rank)'!D:D,E53,'Big Board (by rank)'!I:I))</f>
        <v>52</v>
      </c>
      <c r="B53" s="6">
        <v>44.0</v>
      </c>
      <c r="C53" s="6">
        <v>45.0</v>
      </c>
      <c r="D53" s="6">
        <v>42.0</v>
      </c>
      <c r="E53" s="7" t="s">
        <v>118</v>
      </c>
      <c r="F53" s="7" t="s">
        <v>119</v>
      </c>
      <c r="G53" s="6" t="s">
        <v>44</v>
      </c>
      <c r="H53" s="6">
        <v>7.0</v>
      </c>
      <c r="I53" s="8">
        <v>89.7</v>
      </c>
      <c r="J53" s="9">
        <v>52.0</v>
      </c>
      <c r="K53" s="8" t="s">
        <v>120</v>
      </c>
    </row>
    <row r="54">
      <c r="A54" s="11">
        <f>IF(SUMIF('Big Board (by rank)'!D:D,E54,'Big Board (by rank)'!I:I)=0,"",SUMIF('Big Board (by rank)'!D:D,E54,'Big Board (by rank)'!I:I))</f>
        <v>53</v>
      </c>
      <c r="B54" s="6">
        <v>35.0</v>
      </c>
      <c r="C54" s="6">
        <v>38.0</v>
      </c>
      <c r="D54" s="6">
        <v>34.0</v>
      </c>
      <c r="E54" s="7" t="s">
        <v>102</v>
      </c>
      <c r="F54" s="7" t="s">
        <v>67</v>
      </c>
      <c r="G54" s="6" t="s">
        <v>19</v>
      </c>
      <c r="H54" s="6">
        <v>3.0</v>
      </c>
      <c r="I54" s="8">
        <v>96.4</v>
      </c>
      <c r="J54" s="9">
        <v>53.0</v>
      </c>
      <c r="K54" s="8" t="s">
        <v>103</v>
      </c>
    </row>
    <row r="55">
      <c r="A55" s="11">
        <f>IF(SUMIF('Big Board (by rank)'!D:D,E55,'Big Board (by rank)'!I:I)=0,"",SUMIF('Big Board (by rank)'!D:D,E55,'Big Board (by rank)'!I:I))</f>
        <v>54</v>
      </c>
      <c r="B55" s="6">
        <v>58.0</v>
      </c>
      <c r="C55" s="6">
        <v>55.0</v>
      </c>
      <c r="D55" s="6">
        <v>60.0</v>
      </c>
      <c r="E55" s="7" t="s">
        <v>141</v>
      </c>
      <c r="F55" s="7" t="s">
        <v>142</v>
      </c>
      <c r="G55" s="6" t="s">
        <v>63</v>
      </c>
      <c r="H55" s="6">
        <v>2.0</v>
      </c>
      <c r="I55" s="8">
        <v>101.0</v>
      </c>
      <c r="J55" s="9">
        <v>54.0</v>
      </c>
      <c r="K55" s="8" t="s">
        <v>51</v>
      </c>
    </row>
    <row r="56">
      <c r="A56" s="11">
        <f>IF(SUMIF('Big Board (by rank)'!D:D,E56,'Big Board (by rank)'!I:I)=0,"",SUMIF('Big Board (by rank)'!D:D,E56,'Big Board (by rank)'!I:I))</f>
        <v>55</v>
      </c>
      <c r="B56" s="6">
        <v>50.0</v>
      </c>
      <c r="C56" s="6">
        <v>52.0</v>
      </c>
      <c r="D56" s="6">
        <v>50.0</v>
      </c>
      <c r="E56" s="7" t="s">
        <v>129</v>
      </c>
      <c r="F56" s="7" t="s">
        <v>130</v>
      </c>
      <c r="G56" s="6" t="s">
        <v>32</v>
      </c>
      <c r="H56" s="6">
        <v>10.0</v>
      </c>
      <c r="I56" s="8">
        <v>86.5</v>
      </c>
      <c r="J56" s="9">
        <v>55.0</v>
      </c>
      <c r="K56" s="8" t="s">
        <v>89</v>
      </c>
    </row>
    <row r="57">
      <c r="A57" s="11">
        <f>IF(SUMIF('Big Board (by rank)'!D:D,E57,'Big Board (by rank)'!I:I)=0,"",SUMIF('Big Board (by rank)'!D:D,E57,'Big Board (by rank)'!I:I))</f>
        <v>56</v>
      </c>
      <c r="B57" s="6">
        <v>163.0</v>
      </c>
      <c r="C57" s="6">
        <v>153.0</v>
      </c>
      <c r="D57" s="6">
        <v>173.0</v>
      </c>
      <c r="E57" s="7" t="s">
        <v>280</v>
      </c>
      <c r="F57" s="7" t="s">
        <v>80</v>
      </c>
      <c r="G57" s="6" t="s">
        <v>63</v>
      </c>
      <c r="H57" s="6">
        <v>12.0</v>
      </c>
      <c r="I57" s="8">
        <v>87.9</v>
      </c>
      <c r="J57" s="9">
        <v>56.0</v>
      </c>
      <c r="K57" s="8" t="s">
        <v>115</v>
      </c>
    </row>
    <row r="58">
      <c r="A58" s="11">
        <f>IF(SUMIF('Big Board (by rank)'!D:D,E58,'Big Board (by rank)'!I:I)=0,"",SUMIF('Big Board (by rank)'!D:D,E58,'Big Board (by rank)'!I:I))</f>
        <v>57</v>
      </c>
      <c r="B58" s="6">
        <v>95.0</v>
      </c>
      <c r="C58" s="6">
        <v>78.0</v>
      </c>
      <c r="D58" s="6">
        <v>97.0</v>
      </c>
      <c r="E58" s="7" t="s">
        <v>196</v>
      </c>
      <c r="F58" s="7" t="s">
        <v>153</v>
      </c>
      <c r="G58" s="6" t="s">
        <v>170</v>
      </c>
      <c r="H58" s="6">
        <v>4.0</v>
      </c>
      <c r="I58" s="8">
        <v>97.3</v>
      </c>
      <c r="J58" s="9">
        <v>57.0</v>
      </c>
      <c r="K58" s="8" t="s">
        <v>65</v>
      </c>
    </row>
    <row r="59">
      <c r="A59" s="11">
        <f>IF(SUMIF('Big Board (by rank)'!D:D,E59,'Big Board (by rank)'!I:I)=0,"",SUMIF('Big Board (by rank)'!D:D,E59,'Big Board (by rank)'!I:I))</f>
        <v>58</v>
      </c>
      <c r="B59" s="6">
        <v>24.0</v>
      </c>
      <c r="C59" s="6">
        <v>23.0</v>
      </c>
      <c r="D59" s="6">
        <v>25.0</v>
      </c>
      <c r="E59" s="7" t="s">
        <v>81</v>
      </c>
      <c r="F59" s="7" t="s">
        <v>82</v>
      </c>
      <c r="G59" s="6" t="s">
        <v>26</v>
      </c>
      <c r="H59" s="6">
        <v>3.0</v>
      </c>
      <c r="I59" s="8">
        <v>88.8</v>
      </c>
      <c r="J59" s="9">
        <v>58.0</v>
      </c>
      <c r="K59" s="8" t="s">
        <v>48</v>
      </c>
    </row>
    <row r="60">
      <c r="A60" s="11">
        <f>IF(SUMIF('Big Board (by rank)'!D:D,E60,'Big Board (by rank)'!I:I)=0,"",SUMIF('Big Board (by rank)'!D:D,E60,'Big Board (by rank)'!I:I))</f>
        <v>59</v>
      </c>
      <c r="B60" s="6">
        <v>158.0</v>
      </c>
      <c r="C60" s="6">
        <v>168.0</v>
      </c>
      <c r="D60" s="6">
        <v>171.0</v>
      </c>
      <c r="E60" s="7" t="s">
        <v>275</v>
      </c>
      <c r="F60" s="7" t="s">
        <v>150</v>
      </c>
      <c r="G60" s="6" t="s">
        <v>63</v>
      </c>
      <c r="H60" s="6">
        <v>11.0</v>
      </c>
      <c r="I60" s="8">
        <v>94.6</v>
      </c>
      <c r="J60" s="9">
        <v>59.0</v>
      </c>
      <c r="K60" s="8" t="s">
        <v>92</v>
      </c>
    </row>
    <row r="61">
      <c r="A61" s="11">
        <f>IF(SUMIF('Big Board (by rank)'!D:D,E61,'Big Board (by rank)'!I:I)=0,"",SUMIF('Big Board (by rank)'!D:D,E61,'Big Board (by rank)'!I:I))</f>
        <v>60</v>
      </c>
      <c r="B61" s="6">
        <v>49.0</v>
      </c>
      <c r="C61" s="6">
        <v>39.0</v>
      </c>
      <c r="D61" s="6">
        <v>49.0</v>
      </c>
      <c r="E61" s="7" t="s">
        <v>127</v>
      </c>
      <c r="F61" s="7" t="s">
        <v>128</v>
      </c>
      <c r="G61" s="6" t="s">
        <v>19</v>
      </c>
      <c r="H61" s="6">
        <v>5.0</v>
      </c>
      <c r="I61" s="8">
        <v>101.0</v>
      </c>
      <c r="J61" s="9">
        <v>60.0</v>
      </c>
      <c r="K61" s="8" t="s">
        <v>41</v>
      </c>
    </row>
    <row r="62">
      <c r="A62" s="11">
        <f>IF(SUMIF('Big Board (by rank)'!D:D,E62,'Big Board (by rank)'!I:I)=0,"",SUMIF('Big Board (by rank)'!D:D,E62,'Big Board (by rank)'!I:I))</f>
        <v>61</v>
      </c>
      <c r="B62" s="6">
        <v>71.0</v>
      </c>
      <c r="C62" s="6">
        <v>71.0</v>
      </c>
      <c r="D62" s="6">
        <v>69.0</v>
      </c>
      <c r="E62" s="7" t="s">
        <v>162</v>
      </c>
      <c r="F62" s="7" t="s">
        <v>18</v>
      </c>
      <c r="G62" s="6" t="s">
        <v>63</v>
      </c>
      <c r="H62" s="6">
        <v>3.0</v>
      </c>
      <c r="I62" s="8">
        <v>91.0</v>
      </c>
      <c r="J62" s="9">
        <v>61.0</v>
      </c>
      <c r="K62" s="8" t="s">
        <v>110</v>
      </c>
    </row>
    <row r="63">
      <c r="A63" s="11">
        <f>IF(SUMIF('Big Board (by rank)'!D:D,E63,'Big Board (by rank)'!I:I)=0,"",SUMIF('Big Board (by rank)'!D:D,E63,'Big Board (by rank)'!I:I))</f>
        <v>62</v>
      </c>
      <c r="B63" s="6">
        <v>81.0</v>
      </c>
      <c r="C63" s="6">
        <v>85.0</v>
      </c>
      <c r="D63" s="6">
        <v>80.0</v>
      </c>
      <c r="E63" s="7" t="s">
        <v>178</v>
      </c>
      <c r="F63" s="7" t="s">
        <v>18</v>
      </c>
      <c r="G63" s="6" t="s">
        <v>44</v>
      </c>
      <c r="H63" s="6">
        <v>11.0</v>
      </c>
      <c r="I63" s="8">
        <v>97.8</v>
      </c>
      <c r="J63" s="9">
        <v>62.0</v>
      </c>
      <c r="K63" s="8" t="s">
        <v>94</v>
      </c>
    </row>
    <row r="64">
      <c r="A64" s="11">
        <f>IF(SUMIF('Big Board (by rank)'!D:D,E64,'Big Board (by rank)'!I:I)=0,"",SUMIF('Big Board (by rank)'!D:D,E64,'Big Board (by rank)'!I:I))</f>
        <v>63</v>
      </c>
      <c r="B64" s="6">
        <v>93.0</v>
      </c>
      <c r="C64" s="6">
        <v>100.0</v>
      </c>
      <c r="D64" s="6">
        <v>93.0</v>
      </c>
      <c r="E64" s="7" t="s">
        <v>193</v>
      </c>
      <c r="F64" s="7" t="s">
        <v>107</v>
      </c>
      <c r="G64" s="6" t="s">
        <v>170</v>
      </c>
      <c r="H64" s="6">
        <v>3.0</v>
      </c>
      <c r="I64" s="8">
        <v>101.9</v>
      </c>
      <c r="J64" s="9">
        <v>63.0</v>
      </c>
      <c r="K64" s="8" t="s">
        <v>78</v>
      </c>
    </row>
    <row r="65">
      <c r="A65" s="11">
        <f>IF(SUMIF('Big Board (by rank)'!D:D,E65,'Big Board (by rank)'!I:I)=0,"",SUMIF('Big Board (by rank)'!D:D,E65,'Big Board (by rank)'!I:I))</f>
        <v>64</v>
      </c>
      <c r="B65" s="6">
        <v>79.0</v>
      </c>
      <c r="C65" s="6">
        <v>70.0</v>
      </c>
      <c r="D65" s="6">
        <v>81.0</v>
      </c>
      <c r="E65" s="7" t="s">
        <v>174</v>
      </c>
      <c r="F65" s="7" t="s">
        <v>175</v>
      </c>
      <c r="G65" s="6" t="s">
        <v>26</v>
      </c>
      <c r="H65" s="6">
        <v>5.0</v>
      </c>
      <c r="I65" s="8">
        <v>91.9</v>
      </c>
      <c r="J65" s="9">
        <v>64.0</v>
      </c>
      <c r="K65" s="8" t="s">
        <v>135</v>
      </c>
    </row>
    <row r="66">
      <c r="A66" s="11">
        <f>IF(SUMIF('Big Board (by rank)'!D:D,E66,'Big Board (by rank)'!I:I)=0,"",SUMIF('Big Board (by rank)'!D:D,E66,'Big Board (by rank)'!I:I))</f>
        <v>65</v>
      </c>
      <c r="B66" s="6">
        <v>114.0</v>
      </c>
      <c r="C66" s="6">
        <v>102.0</v>
      </c>
      <c r="D66" s="6">
        <v>120.0</v>
      </c>
      <c r="E66" s="7" t="s">
        <v>221</v>
      </c>
      <c r="F66" s="7" t="s">
        <v>31</v>
      </c>
      <c r="G66" s="6" t="s">
        <v>15</v>
      </c>
      <c r="H66" s="6">
        <v>4.0</v>
      </c>
      <c r="I66" s="8">
        <v>92.8</v>
      </c>
      <c r="J66" s="9">
        <v>65.0</v>
      </c>
      <c r="K66" s="8" t="s">
        <v>24</v>
      </c>
    </row>
    <row r="67">
      <c r="A67" s="11">
        <f>IF(SUMIF('Big Board (by rank)'!D:D,E67,'Big Board (by rank)'!I:I)=0,"",SUMIF('Big Board (by rank)'!D:D,E67,'Big Board (by rank)'!I:I))</f>
        <v>66</v>
      </c>
      <c r="B67" s="6">
        <v>129.0</v>
      </c>
      <c r="C67" s="6">
        <v>125.0</v>
      </c>
      <c r="D67" s="6">
        <v>135.0</v>
      </c>
      <c r="E67" s="7" t="s">
        <v>240</v>
      </c>
      <c r="F67" s="7" t="s">
        <v>80</v>
      </c>
      <c r="G67" s="6" t="s">
        <v>234</v>
      </c>
      <c r="H67" s="6">
        <v>2.0</v>
      </c>
      <c r="I67" s="8">
        <v>116.3</v>
      </c>
      <c r="J67" s="9">
        <v>66.0</v>
      </c>
      <c r="K67" s="8" t="s">
        <v>195</v>
      </c>
    </row>
    <row r="68">
      <c r="A68" s="11">
        <f>IF(SUMIF('Big Board (by rank)'!D:D,E68,'Big Board (by rank)'!I:I)=0,"",SUMIF('Big Board (by rank)'!D:D,E68,'Big Board (by rank)'!I:I))</f>
        <v>67</v>
      </c>
      <c r="B68" s="6">
        <v>90.0</v>
      </c>
      <c r="C68" s="6">
        <v>80.0</v>
      </c>
      <c r="D68" s="6">
        <v>91.0</v>
      </c>
      <c r="E68" s="7" t="s">
        <v>190</v>
      </c>
      <c r="F68" s="7" t="s">
        <v>73</v>
      </c>
      <c r="G68" s="6" t="s">
        <v>32</v>
      </c>
      <c r="H68" s="6">
        <v>16.0</v>
      </c>
      <c r="I68" s="8">
        <v>99.2</v>
      </c>
      <c r="J68" s="9">
        <v>67.0</v>
      </c>
      <c r="K68" s="8" t="s">
        <v>16</v>
      </c>
    </row>
    <row r="69">
      <c r="A69" s="11">
        <f>IF(SUMIF('Big Board (by rank)'!D:D,E69,'Big Board (by rank)'!I:I)=0,"",SUMIF('Big Board (by rank)'!D:D,E69,'Big Board (by rank)'!I:I))</f>
        <v>68</v>
      </c>
      <c r="B69" s="6">
        <v>116.0</v>
      </c>
      <c r="C69" s="6">
        <v>124.0</v>
      </c>
      <c r="D69" s="6">
        <v>114.0</v>
      </c>
      <c r="E69" s="7" t="s">
        <v>224</v>
      </c>
      <c r="F69" s="7" t="s">
        <v>31</v>
      </c>
      <c r="G69" s="6" t="s">
        <v>38</v>
      </c>
      <c r="H69" s="6">
        <v>10.0</v>
      </c>
      <c r="I69" s="8">
        <v>107.3</v>
      </c>
      <c r="J69" s="9">
        <v>68.0</v>
      </c>
      <c r="K69" s="8" t="s">
        <v>51</v>
      </c>
    </row>
    <row r="70">
      <c r="A70" s="11">
        <f>IF(SUMIF('Big Board (by rank)'!D:D,E70,'Big Board (by rank)'!I:I)=0,"",SUMIF('Big Board (by rank)'!D:D,E70,'Big Board (by rank)'!I:I))</f>
        <v>69</v>
      </c>
      <c r="B70" s="6">
        <v>103.0</v>
      </c>
      <c r="C70" s="6">
        <v>119.0</v>
      </c>
      <c r="D70" s="6">
        <v>102.0</v>
      </c>
      <c r="E70" s="7" t="s">
        <v>207</v>
      </c>
      <c r="F70" s="7" t="s">
        <v>208</v>
      </c>
      <c r="G70" s="6" t="s">
        <v>63</v>
      </c>
      <c r="H70" s="6">
        <v>5.0</v>
      </c>
      <c r="I70" s="8">
        <v>91.0</v>
      </c>
      <c r="J70" s="9">
        <v>69.0</v>
      </c>
      <c r="K70" s="8" t="s">
        <v>65</v>
      </c>
    </row>
    <row r="71">
      <c r="A71" s="11">
        <f>IF(SUMIF('Big Board (by rank)'!D:D,E71,'Big Board (by rank)'!I:I)=0,"",SUMIF('Big Board (by rank)'!D:D,E71,'Big Board (by rank)'!I:I))</f>
        <v>70</v>
      </c>
      <c r="B71" s="6">
        <v>78.0</v>
      </c>
      <c r="C71" s="6">
        <v>86.0</v>
      </c>
      <c r="D71" s="6">
        <v>79.0</v>
      </c>
      <c r="E71" s="7" t="s">
        <v>172</v>
      </c>
      <c r="F71" s="7" t="s">
        <v>35</v>
      </c>
      <c r="G71" s="6" t="s">
        <v>32</v>
      </c>
      <c r="H71" s="6">
        <v>14.0</v>
      </c>
      <c r="I71" s="8">
        <v>93.7</v>
      </c>
      <c r="J71" s="9">
        <v>70.0</v>
      </c>
      <c r="K71" s="8" t="s">
        <v>173</v>
      </c>
    </row>
    <row r="72">
      <c r="A72" s="11">
        <f>IF(SUMIF('Big Board (by rank)'!D:D,E72,'Big Board (by rank)'!I:I)=0,"",SUMIF('Big Board (by rank)'!D:D,E72,'Big Board (by rank)'!I:I))</f>
        <v>71</v>
      </c>
      <c r="B72" s="6">
        <v>66.0</v>
      </c>
      <c r="C72" s="6">
        <v>67.0</v>
      </c>
      <c r="D72" s="6">
        <v>66.0</v>
      </c>
      <c r="E72" s="7" t="s">
        <v>154</v>
      </c>
      <c r="F72" s="7" t="s">
        <v>75</v>
      </c>
      <c r="G72" s="6" t="s">
        <v>40</v>
      </c>
      <c r="H72" s="6">
        <v>11.0</v>
      </c>
      <c r="I72" s="8">
        <v>90.1</v>
      </c>
      <c r="J72" s="9">
        <v>71.0</v>
      </c>
      <c r="K72" s="8" t="s">
        <v>29</v>
      </c>
    </row>
    <row r="73">
      <c r="A73" s="11">
        <f>IF(SUMIF('Big Board (by rank)'!D:D,E73,'Big Board (by rank)'!I:I)=0,"",SUMIF('Big Board (by rank)'!D:D,E73,'Big Board (by rank)'!I:I))</f>
        <v>72</v>
      </c>
      <c r="B73" s="6">
        <v>120.0</v>
      </c>
      <c r="C73" s="6">
        <v>112.0</v>
      </c>
      <c r="D73" s="6">
        <v>119.0</v>
      </c>
      <c r="E73" s="7" t="s">
        <v>229</v>
      </c>
      <c r="F73" s="7" t="s">
        <v>87</v>
      </c>
      <c r="G73" s="6" t="s">
        <v>44</v>
      </c>
      <c r="H73" s="6">
        <v>18.0</v>
      </c>
      <c r="I73" s="8">
        <v>96.9</v>
      </c>
      <c r="J73" s="9">
        <v>72.0</v>
      </c>
      <c r="K73" s="8" t="s">
        <v>105</v>
      </c>
    </row>
    <row r="74">
      <c r="A74" s="11">
        <f>IF(SUMIF('Big Board (by rank)'!D:D,E74,'Big Board (by rank)'!I:I)=0,"",SUMIF('Big Board (by rank)'!D:D,E74,'Big Board (by rank)'!I:I))</f>
        <v>73</v>
      </c>
      <c r="B74" s="6">
        <v>101.0</v>
      </c>
      <c r="C74" s="6">
        <v>99.0</v>
      </c>
      <c r="D74" s="6">
        <v>103.0</v>
      </c>
      <c r="E74" s="7" t="s">
        <v>205</v>
      </c>
      <c r="F74" s="7" t="s">
        <v>67</v>
      </c>
      <c r="G74" s="6" t="s">
        <v>63</v>
      </c>
      <c r="H74" s="6">
        <v>4.0</v>
      </c>
      <c r="I74" s="8">
        <v>113.2</v>
      </c>
      <c r="J74" s="9">
        <v>73.0</v>
      </c>
      <c r="K74" s="8" t="s">
        <v>60</v>
      </c>
    </row>
    <row r="75">
      <c r="A75" s="11">
        <f>IF(SUMIF('Big Board (by rank)'!D:D,E75,'Big Board (by rank)'!I:I)=0,"",SUMIF('Big Board (by rank)'!D:D,E75,'Big Board (by rank)'!I:I))</f>
        <v>74</v>
      </c>
      <c r="B75" s="6">
        <v>73.0</v>
      </c>
      <c r="C75" s="6">
        <v>68.0</v>
      </c>
      <c r="D75" s="6">
        <v>75.0</v>
      </c>
      <c r="E75" s="7" t="s">
        <v>164</v>
      </c>
      <c r="F75" s="7" t="s">
        <v>22</v>
      </c>
      <c r="G75" s="6" t="s">
        <v>40</v>
      </c>
      <c r="H75" s="6">
        <v>13.0</v>
      </c>
      <c r="I75" s="8">
        <v>96.5</v>
      </c>
      <c r="J75" s="9">
        <v>74.0</v>
      </c>
      <c r="K75" s="8" t="s">
        <v>20</v>
      </c>
    </row>
    <row r="76">
      <c r="A76" s="11">
        <f>IF(SUMIF('Big Board (by rank)'!D:D,E76,'Big Board (by rank)'!I:I)=0,"",SUMIF('Big Board (by rank)'!D:D,E76,'Big Board (by rank)'!I:I))</f>
        <v>75</v>
      </c>
      <c r="B76" s="6">
        <v>219.0</v>
      </c>
      <c r="C76" s="6">
        <v>205.0</v>
      </c>
      <c r="D76" s="6">
        <v>224.0</v>
      </c>
      <c r="E76" s="7" t="s">
        <v>347</v>
      </c>
      <c r="F76" s="7" t="s">
        <v>35</v>
      </c>
      <c r="G76" s="6" t="s">
        <v>40</v>
      </c>
      <c r="H76" s="6">
        <v>30.0</v>
      </c>
      <c r="I76" s="8">
        <v>104.1</v>
      </c>
      <c r="J76" s="9">
        <v>75.0</v>
      </c>
      <c r="K76" s="8" t="s">
        <v>71</v>
      </c>
    </row>
    <row r="77">
      <c r="A77" s="11">
        <f>IF(SUMIF('Big Board (by rank)'!D:D,E77,'Big Board (by rank)'!I:I)=0,"",SUMIF('Big Board (by rank)'!D:D,E77,'Big Board (by rank)'!I:I))</f>
        <v>76</v>
      </c>
      <c r="B77" s="6">
        <v>121.0</v>
      </c>
      <c r="C77" s="6">
        <v>120.0</v>
      </c>
      <c r="D77" s="6">
        <v>122.0</v>
      </c>
      <c r="E77" s="7" t="s">
        <v>230</v>
      </c>
      <c r="F77" s="7" t="s">
        <v>53</v>
      </c>
      <c r="G77" s="6" t="s">
        <v>15</v>
      </c>
      <c r="H77" s="6">
        <v>5.0</v>
      </c>
      <c r="I77" s="8">
        <v>91.9</v>
      </c>
      <c r="J77" s="9">
        <v>76.0</v>
      </c>
      <c r="K77" s="8" t="s">
        <v>99</v>
      </c>
    </row>
    <row r="78">
      <c r="A78" s="11">
        <f>IF(SUMIF('Big Board (by rank)'!D:D,E78,'Big Board (by rank)'!I:I)=0,"",SUMIF('Big Board (by rank)'!D:D,E78,'Big Board (by rank)'!I:I))</f>
        <v>77</v>
      </c>
      <c r="B78" s="6">
        <v>108.0</v>
      </c>
      <c r="C78" s="6">
        <v>104.0</v>
      </c>
      <c r="D78" s="6">
        <v>111.0</v>
      </c>
      <c r="E78" s="7" t="s">
        <v>214</v>
      </c>
      <c r="F78" s="7" t="s">
        <v>112</v>
      </c>
      <c r="G78" s="6" t="s">
        <v>85</v>
      </c>
      <c r="H78" s="6">
        <v>4.0</v>
      </c>
      <c r="I78" s="8">
        <v>101.9</v>
      </c>
      <c r="J78" s="9">
        <v>77.0</v>
      </c>
      <c r="K78" s="8" t="s">
        <v>120</v>
      </c>
    </row>
    <row r="79">
      <c r="A79" s="11">
        <f>IF(SUMIF('Big Board (by rank)'!D:D,E79,'Big Board (by rank)'!I:I)=0,"",SUMIF('Big Board (by rank)'!D:D,E79,'Big Board (by rank)'!I:I))</f>
        <v>78</v>
      </c>
      <c r="B79" s="6">
        <v>56.0</v>
      </c>
      <c r="C79" s="6">
        <v>59.0</v>
      </c>
      <c r="D79" s="6">
        <v>54.0</v>
      </c>
      <c r="E79" s="7" t="s">
        <v>139</v>
      </c>
      <c r="F79" s="7" t="s">
        <v>43</v>
      </c>
      <c r="G79" s="6" t="s">
        <v>26</v>
      </c>
      <c r="H79" s="6">
        <v>4.0</v>
      </c>
      <c r="I79" s="8">
        <v>82.9</v>
      </c>
      <c r="J79" s="9">
        <v>78.0</v>
      </c>
      <c r="K79" s="8" t="s">
        <v>103</v>
      </c>
    </row>
    <row r="80">
      <c r="A80" s="11">
        <f>IF(SUMIF('Big Board (by rank)'!D:D,E80,'Big Board (by rank)'!I:I)=0,"",SUMIF('Big Board (by rank)'!D:D,E80,'Big Board (by rank)'!I:I))</f>
        <v>79</v>
      </c>
      <c r="B80" s="6">
        <v>64.0</v>
      </c>
      <c r="C80" s="6">
        <v>56.0</v>
      </c>
      <c r="D80" s="6">
        <v>64.0</v>
      </c>
      <c r="E80" s="7" t="s">
        <v>151</v>
      </c>
      <c r="F80" s="7" t="s">
        <v>67</v>
      </c>
      <c r="G80" s="6" t="s">
        <v>40</v>
      </c>
      <c r="H80" s="6">
        <v>10.0</v>
      </c>
      <c r="I80" s="8">
        <v>108.6</v>
      </c>
      <c r="J80" s="9">
        <v>79.0</v>
      </c>
      <c r="K80" s="8" t="s">
        <v>76</v>
      </c>
    </row>
    <row r="81">
      <c r="A81" s="11">
        <f>IF(SUMIF('Big Board (by rank)'!D:D,E81,'Big Board (by rank)'!I:I)=0,"",SUMIF('Big Board (by rank)'!D:D,E81,'Big Board (by rank)'!I:I))</f>
        <v>80</v>
      </c>
      <c r="B81" s="6">
        <v>113.0</v>
      </c>
      <c r="C81" s="6">
        <v>109.0</v>
      </c>
      <c r="D81" s="6">
        <v>109.0</v>
      </c>
      <c r="E81" s="7" t="s">
        <v>220</v>
      </c>
      <c r="F81" s="7" t="s">
        <v>50</v>
      </c>
      <c r="G81" s="6" t="s">
        <v>40</v>
      </c>
      <c r="H81" s="6">
        <v>20.0</v>
      </c>
      <c r="I81" s="8">
        <v>105.5</v>
      </c>
      <c r="J81" s="9">
        <v>80.0</v>
      </c>
      <c r="K81" s="8" t="s">
        <v>55</v>
      </c>
    </row>
    <row r="82">
      <c r="A82" s="11">
        <f>IF(SUMIF('Big Board (by rank)'!D:D,E82,'Big Board (by rank)'!I:I)=0,"",SUMIF('Big Board (by rank)'!D:D,E82,'Big Board (by rank)'!I:I))</f>
        <v>81</v>
      </c>
      <c r="B82" s="6">
        <v>150.0</v>
      </c>
      <c r="C82" s="6">
        <v>169.0</v>
      </c>
      <c r="D82" s="6">
        <v>165.0</v>
      </c>
      <c r="E82" s="7" t="s">
        <v>265</v>
      </c>
      <c r="F82" s="7" t="s">
        <v>80</v>
      </c>
      <c r="G82" s="6" t="s">
        <v>85</v>
      </c>
      <c r="H82" s="6">
        <v>7.0</v>
      </c>
      <c r="I82" s="8">
        <v>88.8</v>
      </c>
      <c r="J82" s="9">
        <v>81.0</v>
      </c>
      <c r="K82" s="8" t="s">
        <v>115</v>
      </c>
    </row>
    <row r="83">
      <c r="A83" s="11">
        <f>IF(SUMIF('Big Board (by rank)'!D:D,E83,'Big Board (by rank)'!I:I)=0,"",SUMIF('Big Board (by rank)'!D:D,E83,'Big Board (by rank)'!I:I))</f>
        <v>82</v>
      </c>
      <c r="B83" s="6">
        <v>70.0</v>
      </c>
      <c r="C83" s="6">
        <v>74.0</v>
      </c>
      <c r="D83" s="6">
        <v>68.0</v>
      </c>
      <c r="E83" s="7" t="s">
        <v>160</v>
      </c>
      <c r="F83" s="7" t="s">
        <v>161</v>
      </c>
      <c r="G83" s="6" t="s">
        <v>91</v>
      </c>
      <c r="H83" s="6">
        <v>5.0</v>
      </c>
      <c r="I83" s="8">
        <v>90.6</v>
      </c>
      <c r="J83" s="9">
        <v>82.0</v>
      </c>
      <c r="K83" s="8" t="s">
        <v>108</v>
      </c>
    </row>
    <row r="84">
      <c r="A84" s="11">
        <f>IF(SUMIF('Big Board (by rank)'!D:D,E84,'Big Board (by rank)'!I:I)=0,"",SUMIF('Big Board (by rank)'!D:D,E84,'Big Board (by rank)'!I:I))</f>
        <v>83</v>
      </c>
      <c r="B84" s="6">
        <v>57.0</v>
      </c>
      <c r="C84" s="6">
        <v>58.0</v>
      </c>
      <c r="D84" s="6">
        <v>56.0</v>
      </c>
      <c r="E84" s="7" t="s">
        <v>140</v>
      </c>
      <c r="F84" s="7" t="s">
        <v>57</v>
      </c>
      <c r="G84" s="6" t="s">
        <v>40</v>
      </c>
      <c r="H84" s="6">
        <v>9.0</v>
      </c>
      <c r="I84" s="8">
        <v>97.8</v>
      </c>
      <c r="J84" s="9">
        <v>83.0</v>
      </c>
      <c r="K84" s="8" t="s">
        <v>68</v>
      </c>
    </row>
    <row r="85">
      <c r="A85" s="11">
        <f>IF(SUMIF('Big Board (by rank)'!D:D,E85,'Big Board (by rank)'!I:I)=0,"",SUMIF('Big Board (by rank)'!D:D,E85,'Big Board (by rank)'!I:I))</f>
        <v>84</v>
      </c>
      <c r="B85" s="6">
        <v>75.0</v>
      </c>
      <c r="C85" s="6">
        <v>81.0</v>
      </c>
      <c r="D85" s="6">
        <v>73.0</v>
      </c>
      <c r="E85" s="7" t="s">
        <v>167</v>
      </c>
      <c r="F85" s="7" t="s">
        <v>168</v>
      </c>
      <c r="G85" s="6" t="s">
        <v>40</v>
      </c>
      <c r="H85" s="6">
        <v>14.0</v>
      </c>
      <c r="I85" s="8">
        <v>94.2</v>
      </c>
      <c r="J85" s="9">
        <v>84.0</v>
      </c>
      <c r="K85" s="8" t="s">
        <v>33</v>
      </c>
    </row>
    <row r="86">
      <c r="A86" s="11">
        <f>IF(SUMIF('Big Board (by rank)'!D:D,E86,'Big Board (by rank)'!I:I)=0,"",SUMIF('Big Board (by rank)'!D:D,E86,'Big Board (by rank)'!I:I))</f>
        <v>85</v>
      </c>
      <c r="B86" s="6">
        <v>102.0</v>
      </c>
      <c r="C86" s="6">
        <v>101.0</v>
      </c>
      <c r="D86" s="6">
        <v>101.0</v>
      </c>
      <c r="E86" s="7" t="s">
        <v>206</v>
      </c>
      <c r="F86" s="7" t="s">
        <v>67</v>
      </c>
      <c r="G86" s="6" t="s">
        <v>44</v>
      </c>
      <c r="H86" s="6">
        <v>14.0</v>
      </c>
      <c r="I86" s="8">
        <v>102.8</v>
      </c>
      <c r="J86" s="9">
        <v>85.0</v>
      </c>
      <c r="K86" s="8" t="s">
        <v>99</v>
      </c>
    </row>
    <row r="87">
      <c r="A87" s="11">
        <f>IF(SUMIF('Big Board (by rank)'!D:D,E87,'Big Board (by rank)'!I:I)=0,"",SUMIF('Big Board (by rank)'!D:D,E87,'Big Board (by rank)'!I:I))</f>
        <v>86</v>
      </c>
      <c r="B87" s="6">
        <v>105.0</v>
      </c>
      <c r="C87" s="6">
        <v>103.0</v>
      </c>
      <c r="D87" s="6">
        <v>106.0</v>
      </c>
      <c r="E87" s="7" t="s">
        <v>210</v>
      </c>
      <c r="F87" s="7" t="s">
        <v>107</v>
      </c>
      <c r="G87" s="6" t="s">
        <v>38</v>
      </c>
      <c r="H87" s="6">
        <v>9.0</v>
      </c>
      <c r="I87" s="8">
        <v>94.6</v>
      </c>
      <c r="J87" s="9">
        <v>86.0</v>
      </c>
      <c r="K87" s="8" t="s">
        <v>48</v>
      </c>
    </row>
    <row r="88">
      <c r="A88" s="11">
        <f>IF(SUMIF('Big Board (by rank)'!D:D,E88,'Big Board (by rank)'!I:I)=0,"",SUMIF('Big Board (by rank)'!D:D,E88,'Big Board (by rank)'!I:I))</f>
        <v>87</v>
      </c>
      <c r="B88" s="6">
        <v>205.0</v>
      </c>
      <c r="C88" s="6">
        <v>149.0</v>
      </c>
      <c r="D88" s="6">
        <v>216.0</v>
      </c>
      <c r="E88" s="7" t="s">
        <v>330</v>
      </c>
      <c r="F88" s="7" t="s">
        <v>18</v>
      </c>
      <c r="G88" s="6" t="s">
        <v>63</v>
      </c>
      <c r="H88" s="6">
        <v>17.0</v>
      </c>
      <c r="I88" s="8">
        <v>99.2</v>
      </c>
      <c r="J88" s="9">
        <v>87.0</v>
      </c>
      <c r="K88" s="8" t="s">
        <v>71</v>
      </c>
    </row>
    <row r="89">
      <c r="A89" s="11">
        <f>IF(SUMIF('Big Board (by rank)'!D:D,E89,'Big Board (by rank)'!I:I)=0,"",SUMIF('Big Board (by rank)'!D:D,E89,'Big Board (by rank)'!I:I))</f>
        <v>88</v>
      </c>
      <c r="B89" s="6">
        <v>41.0</v>
      </c>
      <c r="C89" s="6">
        <v>48.0</v>
      </c>
      <c r="D89" s="6">
        <v>41.0</v>
      </c>
      <c r="E89" s="7" t="s">
        <v>114</v>
      </c>
      <c r="F89" s="7" t="s">
        <v>62</v>
      </c>
      <c r="G89" s="6" t="s">
        <v>54</v>
      </c>
      <c r="H89" s="6">
        <v>2.0</v>
      </c>
      <c r="I89" s="8">
        <v>90.1</v>
      </c>
      <c r="J89" s="9">
        <v>88.0</v>
      </c>
      <c r="K89" s="8" t="s">
        <v>115</v>
      </c>
    </row>
    <row r="90">
      <c r="A90" s="11">
        <f>IF(SUMIF('Big Board (by rank)'!D:D,E90,'Big Board (by rank)'!I:I)=0,"",SUMIF('Big Board (by rank)'!D:D,E90,'Big Board (by rank)'!I:I))</f>
        <v>89</v>
      </c>
      <c r="B90" s="6">
        <v>265.0</v>
      </c>
      <c r="C90" s="6">
        <v>259.0</v>
      </c>
      <c r="D90" s="6">
        <v>271.0</v>
      </c>
      <c r="E90" s="7" t="s">
        <v>396</v>
      </c>
      <c r="F90" s="7" t="s">
        <v>43</v>
      </c>
      <c r="G90" s="6" t="s">
        <v>40</v>
      </c>
      <c r="H90" s="6">
        <v>40.0</v>
      </c>
      <c r="I90" s="8">
        <v>68.0</v>
      </c>
      <c r="J90" s="9">
        <v>89.0</v>
      </c>
      <c r="K90" s="8" t="s">
        <v>65</v>
      </c>
    </row>
    <row r="91">
      <c r="A91" s="11">
        <f>IF(SUMIF('Big Board (by rank)'!D:D,E91,'Big Board (by rank)'!I:I)=0,"",SUMIF('Big Board (by rank)'!D:D,E91,'Big Board (by rank)'!I:I))</f>
        <v>90</v>
      </c>
      <c r="B91" s="6">
        <v>214.0</v>
      </c>
      <c r="C91" s="6">
        <v>238.0</v>
      </c>
      <c r="D91" s="6">
        <v>209.0</v>
      </c>
      <c r="E91" s="7" t="s">
        <v>341</v>
      </c>
      <c r="F91" s="7" t="s">
        <v>14</v>
      </c>
      <c r="G91" s="6" t="s">
        <v>23</v>
      </c>
      <c r="H91" s="6">
        <v>14.0</v>
      </c>
      <c r="I91" s="8">
        <v>91.9</v>
      </c>
      <c r="J91" s="9">
        <v>90.0</v>
      </c>
      <c r="K91" s="8" t="s">
        <v>173</v>
      </c>
    </row>
    <row r="92">
      <c r="A92" s="11">
        <f>IF(SUMIF('Big Board (by rank)'!D:D,E92,'Big Board (by rank)'!I:I)=0,"",SUMIF('Big Board (by rank)'!D:D,E92,'Big Board (by rank)'!I:I))</f>
        <v>91</v>
      </c>
      <c r="B92" s="6">
        <v>110.0</v>
      </c>
      <c r="C92" s="6">
        <v>92.0</v>
      </c>
      <c r="D92" s="6">
        <v>118.0</v>
      </c>
      <c r="E92" s="7" t="s">
        <v>217</v>
      </c>
      <c r="F92" s="7" t="s">
        <v>80</v>
      </c>
      <c r="G92" s="6" t="s">
        <v>170</v>
      </c>
      <c r="H92" s="6">
        <v>5.0</v>
      </c>
      <c r="I92" s="8">
        <v>97.8</v>
      </c>
      <c r="J92" s="9">
        <v>91.0</v>
      </c>
      <c r="K92" s="8" t="s">
        <v>16</v>
      </c>
    </row>
    <row r="93">
      <c r="A93" s="11">
        <f>IF(SUMIF('Big Board (by rank)'!D:D,E93,'Big Board (by rank)'!I:I)=0,"",SUMIF('Big Board (by rank)'!D:D,E93,'Big Board (by rank)'!I:I))</f>
        <v>92</v>
      </c>
      <c r="B93" s="6">
        <v>85.0</v>
      </c>
      <c r="C93" s="6">
        <v>79.0</v>
      </c>
      <c r="D93" s="6">
        <v>90.0</v>
      </c>
      <c r="E93" s="7" t="s">
        <v>183</v>
      </c>
      <c r="F93" s="7" t="s">
        <v>150</v>
      </c>
      <c r="G93" s="6" t="s">
        <v>32</v>
      </c>
      <c r="H93" s="6">
        <v>15.0</v>
      </c>
      <c r="I93" s="8">
        <v>101.0</v>
      </c>
      <c r="J93" s="9">
        <v>92.0</v>
      </c>
      <c r="K93" s="8" t="s">
        <v>27</v>
      </c>
    </row>
    <row r="94">
      <c r="A94" s="11">
        <f>IF(SUMIF('Big Board (by rank)'!D:D,E94,'Big Board (by rank)'!I:I)=0,"",SUMIF('Big Board (by rank)'!D:D,E94,'Big Board (by rank)'!I:I))</f>
        <v>93</v>
      </c>
      <c r="B94" s="6">
        <v>164.0</v>
      </c>
      <c r="C94" s="6">
        <v>130.0</v>
      </c>
      <c r="D94" s="6">
        <v>166.0</v>
      </c>
      <c r="E94" s="7" t="s">
        <v>281</v>
      </c>
      <c r="F94" s="7" t="s">
        <v>112</v>
      </c>
      <c r="G94" s="6" t="s">
        <v>54</v>
      </c>
      <c r="H94" s="6">
        <v>10.0</v>
      </c>
      <c r="I94" s="8">
        <v>95.1</v>
      </c>
      <c r="J94" s="9">
        <v>93.0</v>
      </c>
      <c r="K94" s="8" t="s">
        <v>110</v>
      </c>
    </row>
    <row r="95">
      <c r="A95" s="11">
        <f>IF(SUMIF('Big Board (by rank)'!D:D,E95,'Big Board (by rank)'!I:I)=0,"",SUMIF('Big Board (by rank)'!D:D,E95,'Big Board (by rank)'!I:I))</f>
        <v>94</v>
      </c>
      <c r="B95" s="6">
        <v>54.0</v>
      </c>
      <c r="C95" s="6">
        <v>63.0</v>
      </c>
      <c r="D95" s="6">
        <v>52.0</v>
      </c>
      <c r="E95" s="7" t="s">
        <v>136</v>
      </c>
      <c r="F95" s="7" t="s">
        <v>137</v>
      </c>
      <c r="G95" s="6" t="s">
        <v>40</v>
      </c>
      <c r="H95" s="6">
        <v>8.0</v>
      </c>
      <c r="I95" s="8">
        <v>94.6</v>
      </c>
      <c r="J95" s="9">
        <v>94.0</v>
      </c>
      <c r="K95" s="8" t="s">
        <v>71</v>
      </c>
    </row>
    <row r="96">
      <c r="A96" s="11">
        <f>IF(SUMIF('Big Board (by rank)'!D:D,E96,'Big Board (by rank)'!I:I)=0,"",SUMIF('Big Board (by rank)'!D:D,E96,'Big Board (by rank)'!I:I))</f>
        <v>95</v>
      </c>
      <c r="B96" s="6">
        <v>126.0</v>
      </c>
      <c r="C96" s="6">
        <v>142.0</v>
      </c>
      <c r="D96" s="6">
        <v>121.0</v>
      </c>
      <c r="E96" s="7" t="s">
        <v>237</v>
      </c>
      <c r="F96" s="7" t="s">
        <v>22</v>
      </c>
      <c r="G96" s="6" t="s">
        <v>63</v>
      </c>
      <c r="H96" s="6">
        <v>8.0</v>
      </c>
      <c r="I96" s="8">
        <v>95.6</v>
      </c>
      <c r="J96" s="9">
        <v>95.0</v>
      </c>
      <c r="K96" s="8" t="s">
        <v>89</v>
      </c>
    </row>
    <row r="97">
      <c r="A97" s="11">
        <f>IF(SUMIF('Big Board (by rank)'!D:D,E97,'Big Board (by rank)'!I:I)=0,"",SUMIF('Big Board (by rank)'!D:D,E97,'Big Board (by rank)'!I:I))</f>
        <v>96</v>
      </c>
      <c r="B97" s="6">
        <v>65.0</v>
      </c>
      <c r="C97" s="6">
        <v>64.0</v>
      </c>
      <c r="D97" s="6">
        <v>65.0</v>
      </c>
      <c r="E97" s="7" t="s">
        <v>152</v>
      </c>
      <c r="F97" s="7" t="s">
        <v>153</v>
      </c>
      <c r="G97" s="6" t="s">
        <v>54</v>
      </c>
      <c r="H97" s="6">
        <v>5.0</v>
      </c>
      <c r="I97" s="8">
        <v>86.1</v>
      </c>
      <c r="J97" s="9">
        <v>96.0</v>
      </c>
      <c r="K97" s="8" t="s">
        <v>99</v>
      </c>
    </row>
    <row r="98">
      <c r="A98" s="11">
        <f>IF(SUMIF('Big Board (by rank)'!D:D,E98,'Big Board (by rank)'!I:I)=0,"",SUMIF('Big Board (by rank)'!D:D,E98,'Big Board (by rank)'!I:I))</f>
        <v>97</v>
      </c>
      <c r="B98" s="6">
        <v>67.0</v>
      </c>
      <c r="C98" s="6">
        <v>69.0</v>
      </c>
      <c r="D98" s="6">
        <v>67.0</v>
      </c>
      <c r="E98" s="7" t="s">
        <v>155</v>
      </c>
      <c r="F98" s="7" t="s">
        <v>156</v>
      </c>
      <c r="G98" s="6" t="s">
        <v>38</v>
      </c>
      <c r="H98" s="6">
        <v>8.0</v>
      </c>
      <c r="I98" s="8">
        <v>89.7</v>
      </c>
      <c r="J98" s="9">
        <v>97.0</v>
      </c>
      <c r="K98" s="8" t="s">
        <v>108</v>
      </c>
    </row>
    <row r="99">
      <c r="A99" s="11">
        <f>IF(SUMIF('Big Board (by rank)'!D:D,E99,'Big Board (by rank)'!I:I)=0,"",SUMIF('Big Board (by rank)'!D:D,E99,'Big Board (by rank)'!I:I))</f>
        <v>98</v>
      </c>
      <c r="B99" s="6">
        <v>177.0</v>
      </c>
      <c r="C99" s="6">
        <v>152.0</v>
      </c>
      <c r="D99" s="6">
        <v>184.0</v>
      </c>
      <c r="E99" s="7" t="s">
        <v>296</v>
      </c>
      <c r="F99" s="7" t="s">
        <v>31</v>
      </c>
      <c r="G99" s="6" t="s">
        <v>26</v>
      </c>
      <c r="H99" s="6">
        <v>12.0</v>
      </c>
      <c r="I99" s="8">
        <v>106.8</v>
      </c>
      <c r="J99" s="9">
        <v>98.0</v>
      </c>
      <c r="K99" s="8" t="s">
        <v>108</v>
      </c>
    </row>
    <row r="100">
      <c r="A100" s="11">
        <f>IF(SUMIF('Big Board (by rank)'!D:D,E100,'Big Board (by rank)'!I:I)=0,"",SUMIF('Big Board (by rank)'!D:D,E100,'Big Board (by rank)'!I:I))</f>
        <v>99</v>
      </c>
      <c r="B100" s="6">
        <v>104.0</v>
      </c>
      <c r="C100" s="6">
        <v>114.0</v>
      </c>
      <c r="D100" s="6">
        <v>104.0</v>
      </c>
      <c r="E100" s="7" t="s">
        <v>209</v>
      </c>
      <c r="F100" s="7" t="s">
        <v>166</v>
      </c>
      <c r="G100" s="6" t="s">
        <v>44</v>
      </c>
      <c r="H100" s="6">
        <v>15.0</v>
      </c>
      <c r="I100" s="8">
        <v>97.3</v>
      </c>
      <c r="J100" s="9">
        <v>99.0</v>
      </c>
      <c r="K100" s="8" t="s">
        <v>135</v>
      </c>
    </row>
    <row r="101">
      <c r="A101" s="11">
        <f>IF(SUMIF('Big Board (by rank)'!D:D,E101,'Big Board (by rank)'!I:I)=0,"",SUMIF('Big Board (by rank)'!D:D,E101,'Big Board (by rank)'!I:I))</f>
        <v>100</v>
      </c>
      <c r="B101" s="6">
        <v>187.0</v>
      </c>
      <c r="C101" s="6">
        <v>201.0</v>
      </c>
      <c r="D101" s="6">
        <v>188.0</v>
      </c>
      <c r="E101" s="7" t="s">
        <v>307</v>
      </c>
      <c r="F101" s="7" t="s">
        <v>308</v>
      </c>
      <c r="G101" s="6" t="s">
        <v>26</v>
      </c>
      <c r="H101" s="6">
        <v>14.0</v>
      </c>
      <c r="I101" s="8">
        <v>103.2</v>
      </c>
      <c r="J101" s="9">
        <v>100.0</v>
      </c>
      <c r="K101" s="8" t="s">
        <v>115</v>
      </c>
    </row>
    <row r="102">
      <c r="A102" s="11">
        <f>IF(SUMIF('Big Board (by rank)'!D:D,E102,'Big Board (by rank)'!I:I)=0,"",SUMIF('Big Board (by rank)'!D:D,E102,'Big Board (by rank)'!I:I))</f>
        <v>101</v>
      </c>
      <c r="B102" s="6">
        <v>14.0</v>
      </c>
      <c r="C102" s="6">
        <v>14.0</v>
      </c>
      <c r="D102" s="6">
        <v>13.0</v>
      </c>
      <c r="E102" s="7" t="s">
        <v>56</v>
      </c>
      <c r="F102" s="7" t="s">
        <v>57</v>
      </c>
      <c r="G102" s="6" t="s">
        <v>44</v>
      </c>
      <c r="H102" s="6">
        <v>2.0</v>
      </c>
      <c r="I102" s="8">
        <v>81.1</v>
      </c>
      <c r="J102" s="9">
        <v>101.0</v>
      </c>
      <c r="K102" s="8" t="s">
        <v>16</v>
      </c>
    </row>
    <row r="103">
      <c r="A103" s="11">
        <f>IF(SUMIF('Big Board (by rank)'!D:D,E103,'Big Board (by rank)'!I:I)=0,"",SUMIF('Big Board (by rank)'!D:D,E103,'Big Board (by rank)'!I:I))</f>
        <v>102</v>
      </c>
      <c r="B103" s="6">
        <v>132.0</v>
      </c>
      <c r="C103" s="6">
        <v>134.0</v>
      </c>
      <c r="D103" s="6">
        <v>130.0</v>
      </c>
      <c r="E103" s="7" t="s">
        <v>244</v>
      </c>
      <c r="F103" s="7" t="s">
        <v>245</v>
      </c>
      <c r="G103" s="6" t="s">
        <v>38</v>
      </c>
      <c r="H103" s="6">
        <v>12.0</v>
      </c>
      <c r="I103" s="8">
        <v>78.4</v>
      </c>
      <c r="J103" s="9">
        <v>102.0</v>
      </c>
      <c r="K103" s="8" t="s">
        <v>94</v>
      </c>
    </row>
    <row r="104">
      <c r="A104" s="11">
        <f>IF(SUMIF('Big Board (by rank)'!D:D,E104,'Big Board (by rank)'!I:I)=0,"",SUMIF('Big Board (by rank)'!D:D,E104,'Big Board (by rank)'!I:I))</f>
        <v>103</v>
      </c>
      <c r="B104" s="6">
        <v>98.0</v>
      </c>
      <c r="C104" s="6">
        <v>93.0</v>
      </c>
      <c r="D104" s="6">
        <v>98.0</v>
      </c>
      <c r="E104" s="7" t="s">
        <v>199</v>
      </c>
      <c r="F104" s="7" t="s">
        <v>200</v>
      </c>
      <c r="G104" s="6" t="s">
        <v>85</v>
      </c>
      <c r="H104" s="6">
        <v>3.0</v>
      </c>
      <c r="I104" s="8">
        <v>92.4</v>
      </c>
      <c r="J104" s="9">
        <v>103.0</v>
      </c>
      <c r="K104" s="8" t="s">
        <v>36</v>
      </c>
    </row>
    <row r="105">
      <c r="A105" s="11">
        <f>IF(SUMIF('Big Board (by rank)'!D:D,E105,'Big Board (by rank)'!I:I)=0,"",SUMIF('Big Board (by rank)'!D:D,E105,'Big Board (by rank)'!I:I))</f>
        <v>104</v>
      </c>
      <c r="B105" s="6">
        <v>123.0</v>
      </c>
      <c r="C105" s="6">
        <v>129.0</v>
      </c>
      <c r="D105" s="6">
        <v>126.0</v>
      </c>
      <c r="E105" s="7" t="s">
        <v>232</v>
      </c>
      <c r="F105" s="7" t="s">
        <v>233</v>
      </c>
      <c r="G105" s="6" t="s">
        <v>234</v>
      </c>
      <c r="H105" s="6">
        <v>1.0</v>
      </c>
      <c r="I105" s="8">
        <v>104.6</v>
      </c>
      <c r="J105" s="9">
        <v>104.0</v>
      </c>
      <c r="K105" s="8" t="s">
        <v>24</v>
      </c>
    </row>
    <row r="106">
      <c r="A106" s="11">
        <f>IF(SUMIF('Big Board (by rank)'!D:D,E106,'Big Board (by rank)'!I:I)=0,"",SUMIF('Big Board (by rank)'!D:D,E106,'Big Board (by rank)'!I:I))</f>
        <v>105</v>
      </c>
      <c r="B106" s="6">
        <v>109.0</v>
      </c>
      <c r="C106" s="6">
        <v>98.0</v>
      </c>
      <c r="D106" s="6">
        <v>113.0</v>
      </c>
      <c r="E106" s="7" t="s">
        <v>215</v>
      </c>
      <c r="F106" s="7" t="s">
        <v>216</v>
      </c>
      <c r="G106" s="6" t="s">
        <v>40</v>
      </c>
      <c r="H106" s="6">
        <v>19.0</v>
      </c>
      <c r="I106" s="8">
        <v>101.0</v>
      </c>
      <c r="J106" s="9">
        <v>105.0</v>
      </c>
      <c r="K106" s="8" t="s">
        <v>78</v>
      </c>
    </row>
    <row r="107">
      <c r="A107" s="11">
        <f>IF(SUMIF('Big Board (by rank)'!D:D,E107,'Big Board (by rank)'!I:I)=0,"",SUMIF('Big Board (by rank)'!D:D,E107,'Big Board (by rank)'!I:I))</f>
        <v>106</v>
      </c>
      <c r="B107" s="6">
        <v>191.0</v>
      </c>
      <c r="C107" s="6">
        <v>147.0</v>
      </c>
      <c r="D107" s="6">
        <v>203.0</v>
      </c>
      <c r="E107" s="7" t="s">
        <v>314</v>
      </c>
      <c r="F107" s="7" t="s">
        <v>124</v>
      </c>
      <c r="G107" s="6" t="s">
        <v>54</v>
      </c>
      <c r="H107" s="6">
        <v>12.0</v>
      </c>
      <c r="I107" s="8">
        <v>107.8</v>
      </c>
      <c r="J107" s="9">
        <v>106.0</v>
      </c>
      <c r="K107" s="8" t="s">
        <v>92</v>
      </c>
    </row>
    <row r="108">
      <c r="A108" s="11">
        <f>IF(SUMIF('Big Board (by rank)'!D:D,E108,'Big Board (by rank)'!I:I)=0,"",SUMIF('Big Board (by rank)'!D:D,E108,'Big Board (by rank)'!I:I))</f>
        <v>107</v>
      </c>
      <c r="B108" s="6">
        <v>83.0</v>
      </c>
      <c r="C108" s="6">
        <v>96.0</v>
      </c>
      <c r="D108" s="6">
        <v>83.0</v>
      </c>
      <c r="E108" s="7" t="s">
        <v>180</v>
      </c>
      <c r="F108" s="7" t="s">
        <v>124</v>
      </c>
      <c r="G108" s="6" t="s">
        <v>85</v>
      </c>
      <c r="H108" s="6">
        <v>2.0</v>
      </c>
      <c r="I108" s="8">
        <v>104.6</v>
      </c>
      <c r="J108" s="9">
        <v>107.0</v>
      </c>
      <c r="K108" s="8" t="s">
        <v>173</v>
      </c>
    </row>
    <row r="109">
      <c r="A109" s="11">
        <f>IF(SUMIF('Big Board (by rank)'!D:D,E109,'Big Board (by rank)'!I:I)=0,"",SUMIF('Big Board (by rank)'!D:D,E109,'Big Board (by rank)'!I:I))</f>
        <v>108</v>
      </c>
      <c r="B109" s="6">
        <v>94.0</v>
      </c>
      <c r="C109" s="6">
        <v>122.0</v>
      </c>
      <c r="D109" s="6">
        <v>92.0</v>
      </c>
      <c r="E109" s="7" t="s">
        <v>194</v>
      </c>
      <c r="F109" s="7" t="s">
        <v>87</v>
      </c>
      <c r="G109" s="6" t="s">
        <v>23</v>
      </c>
      <c r="H109" s="6">
        <v>4.0</v>
      </c>
      <c r="I109" s="8">
        <v>98.7</v>
      </c>
      <c r="J109" s="9">
        <v>108.0</v>
      </c>
      <c r="K109" s="8" t="s">
        <v>195</v>
      </c>
    </row>
    <row r="110">
      <c r="A110" s="11">
        <f>IF(SUMIF('Big Board (by rank)'!D:D,E110,'Big Board (by rank)'!I:I)=0,"",SUMIF('Big Board (by rank)'!D:D,E110,'Big Board (by rank)'!I:I))</f>
        <v>109</v>
      </c>
      <c r="B110" s="6">
        <v>143.0</v>
      </c>
      <c r="C110" s="6">
        <v>162.0</v>
      </c>
      <c r="D110" s="6">
        <v>142.0</v>
      </c>
      <c r="E110" s="7" t="s">
        <v>257</v>
      </c>
      <c r="F110" s="7" t="s">
        <v>62</v>
      </c>
      <c r="G110" s="6" t="s">
        <v>44</v>
      </c>
      <c r="H110" s="6">
        <v>20.0</v>
      </c>
      <c r="I110" s="8">
        <v>94.6</v>
      </c>
      <c r="J110" s="9">
        <v>109.0</v>
      </c>
      <c r="K110" s="8" t="s">
        <v>45</v>
      </c>
    </row>
    <row r="111">
      <c r="A111" s="11">
        <f>IF(SUMIF('Big Board (by rank)'!D:D,E111,'Big Board (by rank)'!I:I)=0,"",SUMIF('Big Board (by rank)'!D:D,E111,'Big Board (by rank)'!I:I))</f>
        <v>110</v>
      </c>
      <c r="B111" s="6">
        <v>171.0</v>
      </c>
      <c r="C111" s="6">
        <v>178.0</v>
      </c>
      <c r="D111" s="6">
        <v>169.0</v>
      </c>
      <c r="E111" s="7" t="s">
        <v>290</v>
      </c>
      <c r="F111" s="7" t="s">
        <v>75</v>
      </c>
      <c r="G111" s="6" t="s">
        <v>15</v>
      </c>
      <c r="H111" s="6">
        <v>8.0</v>
      </c>
      <c r="I111" s="8">
        <v>96.9</v>
      </c>
      <c r="J111" s="9">
        <v>110.0</v>
      </c>
      <c r="K111" s="8" t="s">
        <v>36</v>
      </c>
    </row>
    <row r="112">
      <c r="A112" s="11">
        <f>IF(SUMIF('Big Board (by rank)'!D:D,E112,'Big Board (by rank)'!I:I)=0,"",SUMIF('Big Board (by rank)'!D:D,E112,'Big Board (by rank)'!I:I))</f>
        <v>111</v>
      </c>
      <c r="B112" s="6">
        <v>131.0</v>
      </c>
      <c r="C112" s="6">
        <v>115.0</v>
      </c>
      <c r="D112" s="6">
        <v>131.0</v>
      </c>
      <c r="E112" s="7" t="s">
        <v>242</v>
      </c>
      <c r="F112" s="7" t="s">
        <v>243</v>
      </c>
      <c r="G112" s="6" t="s">
        <v>54</v>
      </c>
      <c r="H112" s="6">
        <v>8.0</v>
      </c>
      <c r="I112" s="8">
        <v>84.2</v>
      </c>
      <c r="J112" s="9">
        <v>111.0</v>
      </c>
      <c r="K112" s="8" t="s">
        <v>195</v>
      </c>
    </row>
    <row r="113">
      <c r="A113" s="11">
        <f>IF(SUMIF('Big Board (by rank)'!D:D,E113,'Big Board (by rank)'!I:I)=0,"",SUMIF('Big Board (by rank)'!D:D,E113,'Big Board (by rank)'!I:I))</f>
        <v>112</v>
      </c>
      <c r="B113" s="6">
        <v>156.0</v>
      </c>
      <c r="C113" s="6">
        <v>143.0</v>
      </c>
      <c r="D113" s="6">
        <v>163.0</v>
      </c>
      <c r="E113" s="7" t="s">
        <v>273</v>
      </c>
      <c r="F113" s="7" t="s">
        <v>53</v>
      </c>
      <c r="G113" s="6" t="s">
        <v>38</v>
      </c>
      <c r="H113" s="6">
        <v>15.0</v>
      </c>
      <c r="I113" s="8">
        <v>88.3</v>
      </c>
      <c r="J113" s="9">
        <v>112.0</v>
      </c>
      <c r="K113" s="8" t="s">
        <v>27</v>
      </c>
    </row>
    <row r="114">
      <c r="A114" s="11">
        <f>IF(SUMIF('Big Board (by rank)'!D:D,E114,'Big Board (by rank)'!I:I)=0,"",SUMIF('Big Board (by rank)'!D:D,E114,'Big Board (by rank)'!I:I))</f>
        <v>113</v>
      </c>
      <c r="B114" s="6">
        <v>106.0</v>
      </c>
      <c r="C114" s="6">
        <v>95.0</v>
      </c>
      <c r="D114" s="6">
        <v>105.0</v>
      </c>
      <c r="E114" s="7" t="s">
        <v>211</v>
      </c>
      <c r="F114" s="7" t="s">
        <v>212</v>
      </c>
      <c r="G114" s="6" t="s">
        <v>54</v>
      </c>
      <c r="H114" s="6">
        <v>6.0</v>
      </c>
      <c r="I114" s="8">
        <v>88.8</v>
      </c>
      <c r="J114" s="9">
        <v>113.0</v>
      </c>
      <c r="K114" s="8" t="s">
        <v>103</v>
      </c>
    </row>
    <row r="115">
      <c r="A115" s="11">
        <f>IF(SUMIF('Big Board (by rank)'!D:D,E115,'Big Board (by rank)'!I:I)=0,"",SUMIF('Big Board (by rank)'!D:D,E115,'Big Board (by rank)'!I:I))</f>
        <v>114</v>
      </c>
      <c r="B115" s="6">
        <v>107.0</v>
      </c>
      <c r="C115" s="6">
        <v>113.0</v>
      </c>
      <c r="D115" s="6">
        <v>107.0</v>
      </c>
      <c r="E115" s="7" t="s">
        <v>213</v>
      </c>
      <c r="F115" s="7" t="s">
        <v>107</v>
      </c>
      <c r="G115" s="6" t="s">
        <v>44</v>
      </c>
      <c r="H115" s="6">
        <v>16.0</v>
      </c>
      <c r="I115" s="8">
        <v>89.2</v>
      </c>
      <c r="J115" s="9">
        <v>114.0</v>
      </c>
      <c r="K115" s="8" t="s">
        <v>27</v>
      </c>
    </row>
    <row r="116">
      <c r="A116" s="11">
        <f>IF(SUMIF('Big Board (by rank)'!D:D,E116,'Big Board (by rank)'!I:I)=0,"",SUMIF('Big Board (by rank)'!D:D,E116,'Big Board (by rank)'!I:I))</f>
        <v>115</v>
      </c>
      <c r="B116" s="6">
        <v>69.0</v>
      </c>
      <c r="C116" s="6">
        <v>76.0</v>
      </c>
      <c r="D116" s="6">
        <v>70.0</v>
      </c>
      <c r="E116" s="7" t="s">
        <v>159</v>
      </c>
      <c r="F116" s="7" t="s">
        <v>14</v>
      </c>
      <c r="G116" s="6" t="s">
        <v>40</v>
      </c>
      <c r="H116" s="6">
        <v>12.0</v>
      </c>
      <c r="I116" s="8">
        <v>88.7</v>
      </c>
      <c r="J116" s="9">
        <v>115.0</v>
      </c>
      <c r="K116" s="8" t="s">
        <v>55</v>
      </c>
    </row>
    <row r="117">
      <c r="A117" s="11">
        <f>IF(SUMIF('Big Board (by rank)'!D:D,E117,'Big Board (by rank)'!I:I)=0,"",SUMIF('Big Board (by rank)'!D:D,E117,'Big Board (by rank)'!I:I))</f>
        <v>116</v>
      </c>
      <c r="B117" s="6">
        <v>55.0</v>
      </c>
      <c r="C117" s="6">
        <v>54.0</v>
      </c>
      <c r="D117" s="6">
        <v>58.0</v>
      </c>
      <c r="E117" s="7" t="s">
        <v>138</v>
      </c>
      <c r="F117" s="7" t="s">
        <v>31</v>
      </c>
      <c r="G117" s="6" t="s">
        <v>44</v>
      </c>
      <c r="H117" s="6">
        <v>8.0</v>
      </c>
      <c r="I117" s="8">
        <v>84.3</v>
      </c>
      <c r="J117" s="9">
        <v>116.0</v>
      </c>
      <c r="K117" s="8" t="s">
        <v>33</v>
      </c>
    </row>
    <row r="118">
      <c r="A118" s="11">
        <f>IF(SUMIF('Big Board (by rank)'!D:D,E118,'Big Board (by rank)'!I:I)=0,"",SUMIF('Big Board (by rank)'!D:D,E118,'Big Board (by rank)'!I:I))</f>
        <v>117</v>
      </c>
      <c r="B118" s="6">
        <v>136.0</v>
      </c>
      <c r="C118" s="6">
        <v>139.0</v>
      </c>
      <c r="D118" s="6">
        <v>138.0</v>
      </c>
      <c r="E118" s="7" t="s">
        <v>249</v>
      </c>
      <c r="F118" s="7" t="s">
        <v>250</v>
      </c>
      <c r="G118" s="6" t="s">
        <v>38</v>
      </c>
      <c r="H118" s="6">
        <v>13.0</v>
      </c>
      <c r="I118" s="8">
        <v>146.2</v>
      </c>
      <c r="J118" s="9">
        <v>117.0</v>
      </c>
      <c r="K118" s="8" t="s">
        <v>78</v>
      </c>
    </row>
    <row r="119">
      <c r="A119" s="11">
        <f>IF(SUMIF('Big Board (by rank)'!D:D,E119,'Big Board (by rank)'!I:I)=0,"",SUMIF('Big Board (by rank)'!D:D,E119,'Big Board (by rank)'!I:I))</f>
        <v>118</v>
      </c>
      <c r="B119" s="6">
        <v>167.0</v>
      </c>
      <c r="C119" s="6">
        <v>136.0</v>
      </c>
      <c r="D119" s="6">
        <v>177.0</v>
      </c>
      <c r="E119" s="7" t="s">
        <v>285</v>
      </c>
      <c r="F119" s="7" t="s">
        <v>150</v>
      </c>
      <c r="G119" s="6" t="s">
        <v>19</v>
      </c>
      <c r="H119" s="6">
        <v>16.0</v>
      </c>
      <c r="I119" s="8">
        <v>111.8</v>
      </c>
      <c r="J119" s="9">
        <v>118.0</v>
      </c>
      <c r="K119" s="8" t="s">
        <v>96</v>
      </c>
    </row>
    <row r="120">
      <c r="A120" s="11">
        <f>IF(SUMIF('Big Board (by rank)'!D:D,E120,'Big Board (by rank)'!I:I)=0,"",SUMIF('Big Board (by rank)'!D:D,E120,'Big Board (by rank)'!I:I))</f>
        <v>119</v>
      </c>
      <c r="B120" s="6">
        <v>236.0</v>
      </c>
      <c r="C120" s="6">
        <v>179.0</v>
      </c>
      <c r="D120" s="6">
        <v>254.0</v>
      </c>
      <c r="E120" s="7" t="s">
        <v>364</v>
      </c>
      <c r="F120" s="7" t="s">
        <v>185</v>
      </c>
      <c r="G120" s="6" t="s">
        <v>32</v>
      </c>
      <c r="H120" s="6">
        <v>27.0</v>
      </c>
      <c r="I120" s="8">
        <v>100.1</v>
      </c>
      <c r="J120" s="9">
        <v>119.0</v>
      </c>
      <c r="K120" s="8" t="s">
        <v>115</v>
      </c>
    </row>
    <row r="121">
      <c r="A121" s="11">
        <f>IF(SUMIF('Big Board (by rank)'!D:D,E121,'Big Board (by rank)'!I:I)=0,"",SUMIF('Big Board (by rank)'!D:D,E121,'Big Board (by rank)'!I:I))</f>
        <v>120</v>
      </c>
      <c r="B121" s="6">
        <v>72.0</v>
      </c>
      <c r="C121" s="6">
        <v>73.0</v>
      </c>
      <c r="D121" s="6">
        <v>72.0</v>
      </c>
      <c r="E121" s="7" t="s">
        <v>163</v>
      </c>
      <c r="F121" s="7" t="s">
        <v>53</v>
      </c>
      <c r="G121" s="6" t="s">
        <v>32</v>
      </c>
      <c r="H121" s="6">
        <v>12.0</v>
      </c>
      <c r="I121" s="8">
        <v>93.7</v>
      </c>
      <c r="J121" s="9">
        <v>120.0</v>
      </c>
      <c r="K121" s="8" t="s">
        <v>120</v>
      </c>
    </row>
    <row r="122">
      <c r="A122" s="11">
        <f>IF(SUMIF('Big Board (by rank)'!D:D,E122,'Big Board (by rank)'!I:I)=0,"",SUMIF('Big Board (by rank)'!D:D,E122,'Big Board (by rank)'!I:I))</f>
        <v>121</v>
      </c>
      <c r="B122" s="6">
        <v>253.0</v>
      </c>
      <c r="C122" s="6">
        <v>236.0</v>
      </c>
      <c r="D122" s="6">
        <v>257.0</v>
      </c>
      <c r="E122" s="7" t="s">
        <v>383</v>
      </c>
      <c r="F122" s="7" t="s">
        <v>153</v>
      </c>
      <c r="G122" s="6" t="s">
        <v>40</v>
      </c>
      <c r="H122" s="6">
        <v>35.0</v>
      </c>
      <c r="I122" s="8">
        <v>85.2</v>
      </c>
      <c r="J122" s="9">
        <v>121.0</v>
      </c>
      <c r="K122" s="8" t="s">
        <v>99</v>
      </c>
    </row>
    <row r="123">
      <c r="A123" s="11">
        <f>IF(SUMIF('Big Board (by rank)'!D:D,E123,'Big Board (by rank)'!I:I)=0,"",SUMIF('Big Board (by rank)'!D:D,E123,'Big Board (by rank)'!I:I))</f>
        <v>122</v>
      </c>
      <c r="B123" s="6">
        <v>74.0</v>
      </c>
      <c r="C123" s="6">
        <v>72.0</v>
      </c>
      <c r="D123" s="6">
        <v>78.0</v>
      </c>
      <c r="E123" s="7" t="s">
        <v>165</v>
      </c>
      <c r="F123" s="7" t="s">
        <v>166</v>
      </c>
      <c r="G123" s="6" t="s">
        <v>23</v>
      </c>
      <c r="H123" s="6">
        <v>3.0</v>
      </c>
      <c r="I123" s="8">
        <v>96.9</v>
      </c>
      <c r="J123" s="9">
        <v>122.0</v>
      </c>
      <c r="K123" s="8" t="s">
        <v>16</v>
      </c>
    </row>
    <row r="124">
      <c r="A124" s="11">
        <f>IF(SUMIF('Big Board (by rank)'!D:D,E124,'Big Board (by rank)'!I:I)=0,"",SUMIF('Big Board (by rank)'!D:D,E124,'Big Board (by rank)'!I:I))</f>
        <v>123</v>
      </c>
      <c r="B124" s="6">
        <v>281.0</v>
      </c>
      <c r="C124" s="6">
        <v>223.0</v>
      </c>
      <c r="D124" s="6">
        <v>292.0</v>
      </c>
      <c r="E124" s="7" t="s">
        <v>414</v>
      </c>
      <c r="F124" s="7" t="s">
        <v>75</v>
      </c>
      <c r="G124" s="6" t="s">
        <v>19</v>
      </c>
      <c r="H124" s="6">
        <v>24.0</v>
      </c>
      <c r="I124" s="8">
        <v>72.9</v>
      </c>
      <c r="J124" s="9">
        <v>123.0</v>
      </c>
      <c r="K124" s="8" t="s">
        <v>92</v>
      </c>
    </row>
    <row r="125">
      <c r="A125" s="11">
        <f>IF(SUMIF('Big Board (by rank)'!D:D,E125,'Big Board (by rank)'!I:I)=0,"",SUMIF('Big Board (by rank)'!D:D,E125,'Big Board (by rank)'!I:I))</f>
        <v>124</v>
      </c>
      <c r="B125" s="6">
        <v>89.0</v>
      </c>
      <c r="C125" s="6">
        <v>77.0</v>
      </c>
      <c r="D125" s="6">
        <v>89.0</v>
      </c>
      <c r="E125" s="7" t="s">
        <v>189</v>
      </c>
      <c r="F125" s="7" t="s">
        <v>128</v>
      </c>
      <c r="G125" s="6" t="s">
        <v>44</v>
      </c>
      <c r="H125" s="6">
        <v>13.0</v>
      </c>
      <c r="I125" s="8">
        <v>92.4</v>
      </c>
      <c r="J125" s="9">
        <v>124.0</v>
      </c>
      <c r="K125" s="8" t="s">
        <v>65</v>
      </c>
    </row>
    <row r="126">
      <c r="A126" s="11">
        <f>IF(SUMIF('Big Board (by rank)'!D:D,E126,'Big Board (by rank)'!I:I)=0,"",SUMIF('Big Board (by rank)'!D:D,E126,'Big Board (by rank)'!I:I))</f>
        <v>125</v>
      </c>
      <c r="B126" s="6">
        <v>84.0</v>
      </c>
      <c r="C126" s="6">
        <v>94.0</v>
      </c>
      <c r="D126" s="6">
        <v>85.0</v>
      </c>
      <c r="E126" s="7" t="s">
        <v>181</v>
      </c>
      <c r="F126" s="7" t="s">
        <v>182</v>
      </c>
      <c r="G126" s="6" t="s">
        <v>40</v>
      </c>
      <c r="H126" s="6">
        <v>15.0</v>
      </c>
      <c r="I126" s="8">
        <v>100.5</v>
      </c>
      <c r="J126" s="9">
        <v>125.0</v>
      </c>
      <c r="K126" s="8" t="s">
        <v>94</v>
      </c>
    </row>
    <row r="127">
      <c r="A127" s="11">
        <f>IF(SUMIF('Big Board (by rank)'!D:D,E127,'Big Board (by rank)'!I:I)=0,"",SUMIF('Big Board (by rank)'!D:D,E127,'Big Board (by rank)'!I:I))</f>
        <v>126</v>
      </c>
      <c r="B127" s="6">
        <v>138.0</v>
      </c>
      <c r="C127" s="6">
        <v>141.0</v>
      </c>
      <c r="D127" s="6">
        <v>139.0</v>
      </c>
      <c r="E127" s="7" t="s">
        <v>252</v>
      </c>
      <c r="F127" s="7" t="s">
        <v>175</v>
      </c>
      <c r="G127" s="6" t="s">
        <v>19</v>
      </c>
      <c r="H127" s="6">
        <v>11.0</v>
      </c>
      <c r="I127" s="8">
        <v>100.5</v>
      </c>
      <c r="J127" s="9">
        <v>126.0</v>
      </c>
      <c r="K127" s="8" t="s">
        <v>94</v>
      </c>
    </row>
    <row r="128">
      <c r="A128" s="11">
        <f>IF(SUMIF('Big Board (by rank)'!D:D,E128,'Big Board (by rank)'!I:I)=0,"",SUMIF('Big Board (by rank)'!D:D,E128,'Big Board (by rank)'!I:I))</f>
        <v>127</v>
      </c>
      <c r="B128" s="6">
        <v>232.0</v>
      </c>
      <c r="C128" s="6">
        <v>213.0</v>
      </c>
      <c r="D128" s="6">
        <v>232.0</v>
      </c>
      <c r="E128" s="7" t="s">
        <v>360</v>
      </c>
      <c r="F128" s="7" t="s">
        <v>87</v>
      </c>
      <c r="G128" s="6" t="s">
        <v>54</v>
      </c>
      <c r="H128" s="6">
        <v>19.0</v>
      </c>
      <c r="I128" s="8">
        <v>82.5</v>
      </c>
      <c r="J128" s="9">
        <v>127.0</v>
      </c>
      <c r="K128" s="8" t="s">
        <v>173</v>
      </c>
    </row>
    <row r="129">
      <c r="A129" s="11">
        <f>IF(SUMIF('Big Board (by rank)'!D:D,E129,'Big Board (by rank)'!I:I)=0,"",SUMIF('Big Board (by rank)'!D:D,E129,'Big Board (by rank)'!I:I))</f>
        <v>128</v>
      </c>
      <c r="B129" s="6">
        <v>76.0</v>
      </c>
      <c r="C129" s="6">
        <v>82.0</v>
      </c>
      <c r="D129" s="6">
        <v>74.0</v>
      </c>
      <c r="E129" s="7" t="s">
        <v>169</v>
      </c>
      <c r="F129" s="7" t="s">
        <v>73</v>
      </c>
      <c r="G129" s="6" t="s">
        <v>170</v>
      </c>
      <c r="H129" s="6">
        <v>1.0</v>
      </c>
      <c r="I129" s="8">
        <v>96.4</v>
      </c>
      <c r="J129" s="9">
        <v>128.0</v>
      </c>
      <c r="K129" s="8" t="s">
        <v>105</v>
      </c>
    </row>
    <row r="130">
      <c r="A130" s="11">
        <f>IF(SUMIF('Big Board (by rank)'!D:D,E130,'Big Board (by rank)'!I:I)=0,"",SUMIF('Big Board (by rank)'!D:D,E130,'Big Board (by rank)'!I:I))</f>
        <v>129</v>
      </c>
      <c r="B130" s="6">
        <v>119.0</v>
      </c>
      <c r="C130" s="6">
        <v>111.0</v>
      </c>
      <c r="D130" s="6">
        <v>117.0</v>
      </c>
      <c r="E130" s="7" t="s">
        <v>228</v>
      </c>
      <c r="F130" s="7" t="s">
        <v>80</v>
      </c>
      <c r="G130" s="6" t="s">
        <v>44</v>
      </c>
      <c r="H130" s="6">
        <v>17.0</v>
      </c>
      <c r="I130" s="8">
        <v>83.8</v>
      </c>
      <c r="J130" s="9">
        <v>129.0</v>
      </c>
      <c r="K130" s="8" t="s">
        <v>68</v>
      </c>
    </row>
    <row r="131">
      <c r="A131" s="11">
        <f>IF(SUMIF('Big Board (by rank)'!D:D,E131,'Big Board (by rank)'!I:I)=0,"",SUMIF('Big Board (by rank)'!D:D,E131,'Big Board (by rank)'!I:I))</f>
        <v>130</v>
      </c>
      <c r="B131" s="6">
        <v>207.0</v>
      </c>
      <c r="C131" s="6">
        <v>172.0</v>
      </c>
      <c r="D131" s="6">
        <v>215.0</v>
      </c>
      <c r="E131" s="7" t="s">
        <v>332</v>
      </c>
      <c r="F131" s="7" t="s">
        <v>128</v>
      </c>
      <c r="G131" s="6" t="s">
        <v>32</v>
      </c>
      <c r="H131" s="6">
        <v>23.0</v>
      </c>
      <c r="I131" s="8">
        <v>89.2</v>
      </c>
      <c r="J131" s="9">
        <v>130.0</v>
      </c>
      <c r="K131" s="8" t="s">
        <v>71</v>
      </c>
    </row>
    <row r="132">
      <c r="A132" s="11">
        <f>IF(SUMIF('Big Board (by rank)'!D:D,E132,'Big Board (by rank)'!I:I)=0,"",SUMIF('Big Board (by rank)'!D:D,E132,'Big Board (by rank)'!I:I))</f>
        <v>131</v>
      </c>
      <c r="B132" s="6">
        <v>97.0</v>
      </c>
      <c r="C132" s="6">
        <v>97.0</v>
      </c>
      <c r="D132" s="6">
        <v>95.0</v>
      </c>
      <c r="E132" s="7" t="s">
        <v>198</v>
      </c>
      <c r="F132" s="7" t="s">
        <v>146</v>
      </c>
      <c r="G132" s="6" t="s">
        <v>26</v>
      </c>
      <c r="H132" s="6">
        <v>9.0</v>
      </c>
      <c r="I132" s="8">
        <v>97.8</v>
      </c>
      <c r="J132" s="9">
        <v>131.0</v>
      </c>
      <c r="K132" s="8" t="s">
        <v>78</v>
      </c>
    </row>
    <row r="133">
      <c r="A133" s="11">
        <f>IF(SUMIF('Big Board (by rank)'!D:D,E133,'Big Board (by rank)'!I:I)=0,"",SUMIF('Big Board (by rank)'!D:D,E133,'Big Board (by rank)'!I:I))</f>
        <v>132</v>
      </c>
      <c r="B133" s="6">
        <v>180.0</v>
      </c>
      <c r="C133" s="6">
        <v>159.0</v>
      </c>
      <c r="D133" s="6">
        <v>185.0</v>
      </c>
      <c r="E133" s="7" t="s">
        <v>300</v>
      </c>
      <c r="F133" s="7" t="s">
        <v>73</v>
      </c>
      <c r="G133" s="6" t="s">
        <v>54</v>
      </c>
      <c r="H133" s="6">
        <v>11.0</v>
      </c>
      <c r="I133" s="8">
        <v>86.5</v>
      </c>
      <c r="J133" s="9">
        <v>132.0</v>
      </c>
      <c r="K133" s="8" t="s">
        <v>60</v>
      </c>
    </row>
    <row r="134">
      <c r="A134" s="11">
        <f>IF(SUMIF('Big Board (by rank)'!D:D,E134,'Big Board (by rank)'!I:I)=0,"",SUMIF('Big Board (by rank)'!D:D,E134,'Big Board (by rank)'!I:I))</f>
        <v>133</v>
      </c>
      <c r="B134" s="6">
        <v>241.0</v>
      </c>
      <c r="C134" s="6">
        <v>247.0</v>
      </c>
      <c r="D134" s="6">
        <v>234.0</v>
      </c>
      <c r="E134" s="7" t="s">
        <v>369</v>
      </c>
      <c r="F134" s="7" t="s">
        <v>370</v>
      </c>
      <c r="G134" s="6" t="s">
        <v>63</v>
      </c>
      <c r="H134" s="6">
        <v>20.0</v>
      </c>
      <c r="I134" s="8">
        <v>73.4</v>
      </c>
      <c r="J134" s="9">
        <v>133.0</v>
      </c>
      <c r="K134" s="8" t="s">
        <v>55</v>
      </c>
    </row>
    <row r="135">
      <c r="A135" s="11">
        <f>IF(SUMIF('Big Board (by rank)'!D:D,E135,'Big Board (by rank)'!I:I)=0,"",SUMIF('Big Board (by rank)'!D:D,E135,'Big Board (by rank)'!I:I))</f>
        <v>134</v>
      </c>
      <c r="B135" s="6">
        <v>234.0</v>
      </c>
      <c r="C135" s="6">
        <v>252.0</v>
      </c>
      <c r="D135" s="6">
        <v>231.0</v>
      </c>
      <c r="E135" s="7" t="s">
        <v>362</v>
      </c>
      <c r="F135" s="7" t="s">
        <v>124</v>
      </c>
      <c r="G135" s="6" t="s">
        <v>19</v>
      </c>
      <c r="H135" s="6">
        <v>21.0</v>
      </c>
      <c r="I135" s="8">
        <v>78.8</v>
      </c>
      <c r="J135" s="9">
        <v>134.0</v>
      </c>
      <c r="K135" s="8" t="s">
        <v>76</v>
      </c>
    </row>
    <row r="136">
      <c r="A136" s="11">
        <f>IF(SUMIF('Big Board (by rank)'!D:D,E136,'Big Board (by rank)'!I:I)=0,"",SUMIF('Big Board (by rank)'!D:D,E136,'Big Board (by rank)'!I:I))</f>
        <v>135</v>
      </c>
      <c r="B136" s="6">
        <v>147.0</v>
      </c>
      <c r="C136" s="6">
        <v>131.0</v>
      </c>
      <c r="D136" s="6">
        <v>145.0</v>
      </c>
      <c r="E136" s="7" t="s">
        <v>262</v>
      </c>
      <c r="F136" s="7" t="s">
        <v>62</v>
      </c>
      <c r="G136" s="6" t="s">
        <v>19</v>
      </c>
      <c r="H136" s="6">
        <v>13.0</v>
      </c>
      <c r="I136" s="8">
        <v>91.0</v>
      </c>
      <c r="J136" s="9">
        <v>135.0</v>
      </c>
      <c r="K136" s="8" t="s">
        <v>103</v>
      </c>
    </row>
    <row r="137">
      <c r="A137" s="11">
        <f>IF(SUMIF('Big Board (by rank)'!D:D,E137,'Big Board (by rank)'!I:I)=0,"",SUMIF('Big Board (by rank)'!D:D,E137,'Big Board (by rank)'!I:I))</f>
        <v>136</v>
      </c>
      <c r="B137" s="6">
        <v>87.0</v>
      </c>
      <c r="C137" s="6">
        <v>91.0</v>
      </c>
      <c r="D137" s="6">
        <v>87.0</v>
      </c>
      <c r="E137" s="7" t="s">
        <v>186</v>
      </c>
      <c r="F137" s="7" t="s">
        <v>187</v>
      </c>
      <c r="G137" s="6" t="s">
        <v>40</v>
      </c>
      <c r="H137" s="6">
        <v>16.0</v>
      </c>
      <c r="I137" s="8">
        <v>87.0</v>
      </c>
      <c r="J137" s="9">
        <v>136.0</v>
      </c>
      <c r="K137" s="8" t="s">
        <v>60</v>
      </c>
    </row>
    <row r="138">
      <c r="A138" s="11">
        <f>IF(SUMIF('Big Board (by rank)'!D:D,E138,'Big Board (by rank)'!I:I)=0,"",SUMIF('Big Board (by rank)'!D:D,E138,'Big Board (by rank)'!I:I))</f>
        <v>137</v>
      </c>
      <c r="B138" s="6">
        <v>112.0</v>
      </c>
      <c r="C138" s="6">
        <v>107.0</v>
      </c>
      <c r="D138" s="6">
        <v>108.0</v>
      </c>
      <c r="E138" s="7" t="s">
        <v>219</v>
      </c>
      <c r="F138" s="7" t="s">
        <v>70</v>
      </c>
      <c r="G138" s="6" t="s">
        <v>32</v>
      </c>
      <c r="H138" s="6">
        <v>17.0</v>
      </c>
      <c r="I138" s="8">
        <v>100.5</v>
      </c>
      <c r="J138" s="9">
        <v>137.0</v>
      </c>
      <c r="K138" s="8" t="s">
        <v>27</v>
      </c>
    </row>
    <row r="139">
      <c r="A139" s="11">
        <f>IF(SUMIF('Big Board (by rank)'!D:D,E139,'Big Board (by rank)'!I:I)=0,"",SUMIF('Big Board (by rank)'!D:D,E139,'Big Board (by rank)'!I:I))</f>
        <v>138</v>
      </c>
      <c r="B139" s="6">
        <v>68.0</v>
      </c>
      <c r="C139" s="6">
        <v>62.0</v>
      </c>
      <c r="D139" s="6">
        <v>71.0</v>
      </c>
      <c r="E139" s="7" t="s">
        <v>157</v>
      </c>
      <c r="F139" s="7" t="s">
        <v>158</v>
      </c>
      <c r="G139" s="6" t="s">
        <v>19</v>
      </c>
      <c r="H139" s="6">
        <v>8.0</v>
      </c>
      <c r="I139" s="8">
        <v>89.7</v>
      </c>
      <c r="J139" s="9">
        <v>138.0</v>
      </c>
      <c r="K139" s="8" t="s">
        <v>71</v>
      </c>
    </row>
    <row r="140">
      <c r="A140" s="11">
        <f>IF(SUMIF('Big Board (by rank)'!D:D,E140,'Big Board (by rank)'!I:I)=0,"",SUMIF('Big Board (by rank)'!D:D,E140,'Big Board (by rank)'!I:I))</f>
        <v>139</v>
      </c>
      <c r="B140" s="6">
        <v>141.0</v>
      </c>
      <c r="C140" s="6">
        <v>177.0</v>
      </c>
      <c r="D140" s="6">
        <v>134.0</v>
      </c>
      <c r="E140" s="7" t="s">
        <v>255</v>
      </c>
      <c r="F140" s="7" t="s">
        <v>87</v>
      </c>
      <c r="G140" s="6" t="s">
        <v>44</v>
      </c>
      <c r="H140" s="6">
        <v>19.0</v>
      </c>
      <c r="I140" s="8">
        <v>94.6</v>
      </c>
      <c r="J140" s="9">
        <v>139.0</v>
      </c>
      <c r="K140" s="8" t="s">
        <v>173</v>
      </c>
    </row>
    <row r="141">
      <c r="A141" s="11">
        <f>IF(SUMIF('Big Board (by rank)'!D:D,E141,'Big Board (by rank)'!I:I)=0,"",SUMIF('Big Board (by rank)'!D:D,E141,'Big Board (by rank)'!I:I))</f>
        <v>140</v>
      </c>
      <c r="B141" s="6">
        <v>233.0</v>
      </c>
      <c r="C141" s="6">
        <v>195.0</v>
      </c>
      <c r="D141" s="6">
        <v>250.0</v>
      </c>
      <c r="E141" s="7" t="s">
        <v>361</v>
      </c>
      <c r="F141" s="7" t="s">
        <v>67</v>
      </c>
      <c r="G141" s="6" t="s">
        <v>40</v>
      </c>
      <c r="H141" s="6">
        <v>32.0</v>
      </c>
      <c r="I141" s="8">
        <v>80.2</v>
      </c>
      <c r="J141" s="9">
        <v>140.0</v>
      </c>
      <c r="K141" s="8" t="s">
        <v>105</v>
      </c>
    </row>
    <row r="142">
      <c r="A142" s="11">
        <f>IF(SUMIF('Big Board (by rank)'!D:D,E142,'Big Board (by rank)'!I:I)=0,"",SUMIF('Big Board (by rank)'!D:D,E142,'Big Board (by rank)'!I:I))</f>
        <v>141</v>
      </c>
      <c r="B142" s="6">
        <v>92.0</v>
      </c>
      <c r="C142" s="6">
        <v>117.0</v>
      </c>
      <c r="D142" s="6">
        <v>86.0</v>
      </c>
      <c r="E142" s="7" t="s">
        <v>192</v>
      </c>
      <c r="F142" s="7" t="s">
        <v>50</v>
      </c>
      <c r="G142" s="6" t="s">
        <v>26</v>
      </c>
      <c r="H142" s="6">
        <v>8.0</v>
      </c>
      <c r="I142" s="8">
        <v>101.0</v>
      </c>
      <c r="J142" s="9">
        <v>141.0</v>
      </c>
      <c r="K142" s="8" t="s">
        <v>92</v>
      </c>
    </row>
    <row r="143">
      <c r="A143" s="11">
        <f>IF(SUMIF('Big Board (by rank)'!D:D,E143,'Big Board (by rank)'!I:I)=0,"",SUMIF('Big Board (by rank)'!D:D,E143,'Big Board (by rank)'!I:I))</f>
        <v>142</v>
      </c>
      <c r="B143" s="6">
        <v>243.0</v>
      </c>
      <c r="C143" s="6">
        <v>235.0</v>
      </c>
      <c r="D143" s="6">
        <v>244.0</v>
      </c>
      <c r="E143" s="7" t="s">
        <v>372</v>
      </c>
      <c r="F143" s="7" t="s">
        <v>166</v>
      </c>
      <c r="G143" s="6" t="s">
        <v>54</v>
      </c>
      <c r="H143" s="6">
        <v>20.0</v>
      </c>
      <c r="I143" s="8">
        <v>74.8</v>
      </c>
      <c r="J143" s="9">
        <v>142.0</v>
      </c>
      <c r="K143" s="8" t="s">
        <v>41</v>
      </c>
    </row>
    <row r="144">
      <c r="A144" s="11">
        <f>IF(SUMIF('Big Board (by rank)'!D:D,E144,'Big Board (by rank)'!I:I)=0,"",SUMIF('Big Board (by rank)'!D:D,E144,'Big Board (by rank)'!I:I))</f>
        <v>143</v>
      </c>
      <c r="B144" s="6">
        <v>178.0</v>
      </c>
      <c r="C144" s="6">
        <v>174.0</v>
      </c>
      <c r="D144" s="6">
        <v>181.0</v>
      </c>
      <c r="E144" s="7" t="s">
        <v>297</v>
      </c>
      <c r="F144" s="7" t="s">
        <v>35</v>
      </c>
      <c r="G144" s="6" t="s">
        <v>40</v>
      </c>
      <c r="H144" s="6">
        <v>23.0</v>
      </c>
      <c r="I144" s="8">
        <v>84.7</v>
      </c>
      <c r="J144" s="9">
        <v>143.0</v>
      </c>
      <c r="K144" s="8" t="s">
        <v>24</v>
      </c>
    </row>
    <row r="145">
      <c r="A145" s="11">
        <f>IF(SUMIF('Big Board (by rank)'!D:D,E145,'Big Board (by rank)'!I:I)=0,"",SUMIF('Big Board (by rank)'!D:D,E145,'Big Board (by rank)'!I:I))</f>
        <v>144</v>
      </c>
      <c r="B145" s="6">
        <v>80.0</v>
      </c>
      <c r="C145" s="6">
        <v>90.0</v>
      </c>
      <c r="D145" s="6">
        <v>77.0</v>
      </c>
      <c r="E145" s="7" t="s">
        <v>176</v>
      </c>
      <c r="F145" s="7" t="s">
        <v>177</v>
      </c>
      <c r="G145" s="6" t="s">
        <v>170</v>
      </c>
      <c r="H145" s="6">
        <v>2.0</v>
      </c>
      <c r="I145" s="8">
        <v>91.5</v>
      </c>
      <c r="J145" s="9">
        <v>144.0</v>
      </c>
      <c r="K145" s="8" t="s">
        <v>68</v>
      </c>
    </row>
    <row r="146">
      <c r="A146" s="11">
        <f>IF(SUMIF('Big Board (by rank)'!D:D,E146,'Big Board (by rank)'!I:I)=0,"",SUMIF('Big Board (by rank)'!D:D,E146,'Big Board (by rank)'!I:I))</f>
        <v>145</v>
      </c>
      <c r="B146" s="6">
        <v>174.0</v>
      </c>
      <c r="C146" s="6">
        <v>176.0</v>
      </c>
      <c r="D146" s="6">
        <v>178.0</v>
      </c>
      <c r="E146" s="7" t="s">
        <v>293</v>
      </c>
      <c r="F146" s="7" t="s">
        <v>119</v>
      </c>
      <c r="G146" s="6" t="s">
        <v>85</v>
      </c>
      <c r="H146" s="6">
        <v>9.0</v>
      </c>
      <c r="I146" s="8">
        <v>105.9</v>
      </c>
      <c r="J146" s="9">
        <v>145.0</v>
      </c>
      <c r="K146" s="8" t="s">
        <v>78</v>
      </c>
    </row>
    <row r="147">
      <c r="A147" s="11">
        <f>IF(SUMIF('Big Board (by rank)'!D:D,E147,'Big Board (by rank)'!I:I)=0,"",SUMIF('Big Board (by rank)'!D:D,E147,'Big Board (by rank)'!I:I))</f>
        <v>146</v>
      </c>
      <c r="B147" s="6">
        <v>172.0</v>
      </c>
      <c r="C147" s="6">
        <v>183.0</v>
      </c>
      <c r="D147" s="6">
        <v>168.0</v>
      </c>
      <c r="E147" s="7" t="s">
        <v>291</v>
      </c>
      <c r="F147" s="7" t="s">
        <v>70</v>
      </c>
      <c r="G147" s="6" t="s">
        <v>170</v>
      </c>
      <c r="H147" s="6">
        <v>8.0</v>
      </c>
      <c r="I147" s="8">
        <v>100.5</v>
      </c>
      <c r="J147" s="9">
        <v>146.0</v>
      </c>
      <c r="K147" s="8" t="s">
        <v>48</v>
      </c>
    </row>
    <row r="148">
      <c r="A148" s="11">
        <f>IF(SUMIF('Big Board (by rank)'!D:D,E148,'Big Board (by rank)'!I:I)=0,"",SUMIF('Big Board (by rank)'!D:D,E148,'Big Board (by rank)'!I:I))</f>
        <v>147</v>
      </c>
      <c r="B148" s="6">
        <v>77.0</v>
      </c>
      <c r="C148" s="6">
        <v>84.0</v>
      </c>
      <c r="D148" s="6">
        <v>76.0</v>
      </c>
      <c r="E148" s="7" t="s">
        <v>171</v>
      </c>
      <c r="F148" s="7" t="s">
        <v>57</v>
      </c>
      <c r="G148" s="6" t="s">
        <v>32</v>
      </c>
      <c r="H148" s="6">
        <v>13.0</v>
      </c>
      <c r="I148" s="8">
        <v>91.1</v>
      </c>
      <c r="J148" s="9">
        <v>147.0</v>
      </c>
      <c r="K148" s="8" t="s">
        <v>29</v>
      </c>
    </row>
    <row r="149">
      <c r="A149" s="11">
        <f>IF(SUMIF('Big Board (by rank)'!D:D,E149,'Big Board (by rank)'!I:I)=0,"",SUMIF('Big Board (by rank)'!D:D,E149,'Big Board (by rank)'!I:I))</f>
        <v>148</v>
      </c>
      <c r="B149" s="6">
        <v>146.0</v>
      </c>
      <c r="C149" s="6">
        <v>145.0</v>
      </c>
      <c r="D149" s="6">
        <v>147.0</v>
      </c>
      <c r="E149" s="7" t="s">
        <v>261</v>
      </c>
      <c r="F149" s="7" t="s">
        <v>153</v>
      </c>
      <c r="G149" s="6" t="s">
        <v>54</v>
      </c>
      <c r="H149" s="6">
        <v>9.0</v>
      </c>
      <c r="I149" s="8">
        <v>89.7</v>
      </c>
      <c r="J149" s="9">
        <v>148.0</v>
      </c>
      <c r="K149" s="8" t="s">
        <v>135</v>
      </c>
    </row>
    <row r="150">
      <c r="A150" s="11">
        <f>IF(SUMIF('Big Board (by rank)'!D:D,E150,'Big Board (by rank)'!I:I)=0,"",SUMIF('Big Board (by rank)'!D:D,E150,'Big Board (by rank)'!I:I))</f>
        <v>149</v>
      </c>
      <c r="B150" s="6">
        <v>198.0</v>
      </c>
      <c r="C150" s="6">
        <v>148.0</v>
      </c>
      <c r="D150" s="6">
        <v>205.0</v>
      </c>
      <c r="E150" s="7" t="s">
        <v>322</v>
      </c>
      <c r="F150" s="7" t="s">
        <v>70</v>
      </c>
      <c r="G150" s="6" t="s">
        <v>19</v>
      </c>
      <c r="H150" s="6">
        <v>19.0</v>
      </c>
      <c r="I150" s="8">
        <v>92.4</v>
      </c>
      <c r="J150" s="9">
        <v>149.0</v>
      </c>
      <c r="K150" s="8" t="s">
        <v>48</v>
      </c>
    </row>
    <row r="151">
      <c r="A151" s="11">
        <f>IF(SUMIF('Big Board (by rank)'!D:D,E151,'Big Board (by rank)'!I:I)=0,"",SUMIF('Big Board (by rank)'!D:D,E151,'Big Board (by rank)'!I:I))</f>
        <v>150</v>
      </c>
      <c r="B151" s="6">
        <v>226.0</v>
      </c>
      <c r="C151" s="6">
        <v>192.0</v>
      </c>
      <c r="D151" s="6">
        <v>236.0</v>
      </c>
      <c r="E151" s="7" t="s">
        <v>354</v>
      </c>
      <c r="F151" s="7" t="s">
        <v>146</v>
      </c>
      <c r="G151" s="6" t="s">
        <v>26</v>
      </c>
      <c r="H151" s="6">
        <v>17.0</v>
      </c>
      <c r="I151" s="8">
        <v>91.5</v>
      </c>
      <c r="J151" s="9">
        <v>150.0</v>
      </c>
      <c r="K151" s="8" t="s">
        <v>16</v>
      </c>
    </row>
    <row r="152">
      <c r="A152" s="11">
        <f>IF(SUMIF('Big Board (by rank)'!D:D,E152,'Big Board (by rank)'!I:I)=0,"",SUMIF('Big Board (by rank)'!D:D,E152,'Big Board (by rank)'!I:I))</f>
        <v>151</v>
      </c>
      <c r="B152" s="6">
        <v>88.0</v>
      </c>
      <c r="C152" s="6">
        <v>88.0</v>
      </c>
      <c r="D152" s="6">
        <v>88.0</v>
      </c>
      <c r="E152" s="7" t="s">
        <v>188</v>
      </c>
      <c r="F152" s="7" t="s">
        <v>53</v>
      </c>
      <c r="G152" s="6" t="s">
        <v>26</v>
      </c>
      <c r="H152" s="6">
        <v>6.0</v>
      </c>
      <c r="I152" s="8">
        <v>89.2</v>
      </c>
      <c r="J152" s="9">
        <v>151.0</v>
      </c>
      <c r="K152" s="8" t="s">
        <v>68</v>
      </c>
    </row>
    <row r="153">
      <c r="A153" s="11">
        <f>IF(SUMIF('Big Board (by rank)'!D:D,E153,'Big Board (by rank)'!I:I)=0,"",SUMIF('Big Board (by rank)'!D:D,E153,'Big Board (by rank)'!I:I))</f>
        <v>152</v>
      </c>
      <c r="B153" s="6">
        <v>115.0</v>
      </c>
      <c r="C153" s="6">
        <v>110.0</v>
      </c>
      <c r="D153" s="6">
        <v>112.0</v>
      </c>
      <c r="E153" s="7" t="s">
        <v>222</v>
      </c>
      <c r="F153" s="7" t="s">
        <v>223</v>
      </c>
      <c r="G153" s="6" t="s">
        <v>63</v>
      </c>
      <c r="H153" s="6">
        <v>6.0</v>
      </c>
      <c r="I153" s="8">
        <v>82.9</v>
      </c>
      <c r="J153" s="9">
        <v>152.0</v>
      </c>
      <c r="K153" s="8" t="s">
        <v>195</v>
      </c>
    </row>
    <row r="154">
      <c r="A154" s="11">
        <f>IF(SUMIF('Big Board (by rank)'!D:D,E154,'Big Board (by rank)'!I:I)=0,"",SUMIF('Big Board (by rank)'!D:D,E154,'Big Board (by rank)'!I:I))</f>
        <v>153</v>
      </c>
      <c r="B154" s="6">
        <v>176.0</v>
      </c>
      <c r="C154" s="6">
        <v>206.0</v>
      </c>
      <c r="D154" s="6">
        <v>175.0</v>
      </c>
      <c r="E154" s="7" t="s">
        <v>295</v>
      </c>
      <c r="F154" s="7" t="s">
        <v>212</v>
      </c>
      <c r="G154" s="6" t="s">
        <v>170</v>
      </c>
      <c r="H154" s="6">
        <v>9.0</v>
      </c>
      <c r="I154" s="8">
        <v>99.2</v>
      </c>
      <c r="J154" s="9">
        <v>153.0</v>
      </c>
      <c r="K154" s="8" t="s">
        <v>120</v>
      </c>
    </row>
    <row r="155">
      <c r="A155" s="11">
        <f>IF(SUMIF('Big Board (by rank)'!D:D,E155,'Big Board (by rank)'!I:I)=0,"",SUMIF('Big Board (by rank)'!D:D,E155,'Big Board (by rank)'!I:I))</f>
        <v>154</v>
      </c>
      <c r="B155" s="6">
        <v>284.0</v>
      </c>
      <c r="C155" s="6">
        <v>305.0</v>
      </c>
      <c r="D155" s="6">
        <v>281.0</v>
      </c>
      <c r="E155" s="7" t="s">
        <v>417</v>
      </c>
      <c r="F155" s="7" t="s">
        <v>418</v>
      </c>
      <c r="G155" s="6" t="s">
        <v>19</v>
      </c>
      <c r="H155" s="6">
        <v>25.0</v>
      </c>
      <c r="I155" s="8">
        <v>90.6</v>
      </c>
      <c r="J155" s="9">
        <v>154.0</v>
      </c>
      <c r="K155" s="8" t="s">
        <v>173</v>
      </c>
    </row>
    <row r="156">
      <c r="A156" s="11">
        <f>IF(SUMIF('Big Board (by rank)'!D:D,E156,'Big Board (by rank)'!I:I)=0,"",SUMIF('Big Board (by rank)'!D:D,E156,'Big Board (by rank)'!I:I))</f>
        <v>155</v>
      </c>
      <c r="B156" s="6">
        <v>170.0</v>
      </c>
      <c r="C156" s="6">
        <v>166.0</v>
      </c>
      <c r="D156" s="6">
        <v>170.0</v>
      </c>
      <c r="E156" s="7" t="s">
        <v>289</v>
      </c>
      <c r="F156" s="7" t="s">
        <v>75</v>
      </c>
      <c r="G156" s="6" t="s">
        <v>85</v>
      </c>
      <c r="H156" s="6">
        <v>8.0</v>
      </c>
      <c r="I156" s="8">
        <v>89.6</v>
      </c>
      <c r="J156" s="9">
        <v>155.0</v>
      </c>
      <c r="K156" s="8" t="s">
        <v>33</v>
      </c>
    </row>
    <row r="157">
      <c r="A157" s="11">
        <f>IF(SUMIF('Big Board (by rank)'!D:D,E157,'Big Board (by rank)'!I:I)=0,"",SUMIF('Big Board (by rank)'!D:D,E157,'Big Board (by rank)'!I:I))</f>
        <v>156</v>
      </c>
      <c r="B157" s="6">
        <v>235.0</v>
      </c>
      <c r="C157" s="6">
        <v>221.0</v>
      </c>
      <c r="D157" s="6">
        <v>238.0</v>
      </c>
      <c r="E157" s="7" t="s">
        <v>363</v>
      </c>
      <c r="F157" s="7" t="s">
        <v>107</v>
      </c>
      <c r="G157" s="6" t="s">
        <v>32</v>
      </c>
      <c r="H157" s="6">
        <v>26.0</v>
      </c>
      <c r="I157" s="8">
        <v>79.7</v>
      </c>
      <c r="J157" s="9">
        <v>156.0</v>
      </c>
      <c r="K157" s="8" t="s">
        <v>103</v>
      </c>
    </row>
    <row r="158">
      <c r="A158" s="11">
        <f>IF(SUMIF('Big Board (by rank)'!D:D,E158,'Big Board (by rank)'!I:I)=0,"",SUMIF('Big Board (by rank)'!D:D,E158,'Big Board (by rank)'!I:I))</f>
        <v>157</v>
      </c>
      <c r="B158" s="6">
        <v>61.0</v>
      </c>
      <c r="C158" s="6">
        <v>65.0</v>
      </c>
      <c r="D158" s="6">
        <v>59.0</v>
      </c>
      <c r="E158" s="7" t="s">
        <v>147</v>
      </c>
      <c r="F158" s="7" t="s">
        <v>59</v>
      </c>
      <c r="G158" s="6" t="s">
        <v>44</v>
      </c>
      <c r="H158" s="6">
        <v>10.0</v>
      </c>
      <c r="I158" s="8">
        <v>96.9</v>
      </c>
      <c r="J158" s="9">
        <v>157.0</v>
      </c>
      <c r="K158" s="8" t="s">
        <v>96</v>
      </c>
    </row>
    <row r="159">
      <c r="A159" s="11">
        <f>IF(SUMIF('Big Board (by rank)'!D:D,E159,'Big Board (by rank)'!I:I)=0,"",SUMIF('Big Board (by rank)'!D:D,E159,'Big Board (by rank)'!I:I))</f>
        <v>158</v>
      </c>
      <c r="B159" s="6">
        <v>145.0</v>
      </c>
      <c r="C159" s="6">
        <v>181.0</v>
      </c>
      <c r="D159" s="6">
        <v>155.0</v>
      </c>
      <c r="E159" s="7" t="s">
        <v>260</v>
      </c>
      <c r="F159" s="7" t="s">
        <v>128</v>
      </c>
      <c r="G159" s="6" t="s">
        <v>26</v>
      </c>
      <c r="H159" s="6">
        <v>11.0</v>
      </c>
      <c r="I159" s="8">
        <v>86.1</v>
      </c>
      <c r="J159" s="9">
        <v>158.0</v>
      </c>
      <c r="K159" s="8" t="s">
        <v>71</v>
      </c>
    </row>
    <row r="160">
      <c r="A160" s="11">
        <f>IF(SUMIF('Big Board (by rank)'!D:D,E160,'Big Board (by rank)'!I:I)=0,"",SUMIF('Big Board (by rank)'!D:D,E160,'Big Board (by rank)'!I:I))</f>
        <v>159</v>
      </c>
      <c r="B160" s="6">
        <v>317.0</v>
      </c>
      <c r="C160" s="6">
        <v>282.0</v>
      </c>
      <c r="D160" s="6">
        <v>310.0</v>
      </c>
      <c r="E160" s="7" t="s">
        <v>441</v>
      </c>
      <c r="F160" s="7" t="s">
        <v>150</v>
      </c>
      <c r="G160" s="6" t="s">
        <v>442</v>
      </c>
      <c r="H160" s="6">
        <v>1.0</v>
      </c>
      <c r="I160" s="8">
        <v>71.6</v>
      </c>
      <c r="J160" s="9">
        <v>159.0</v>
      </c>
      <c r="K160" s="8" t="s">
        <v>108</v>
      </c>
    </row>
    <row r="161">
      <c r="A161" s="11">
        <f>IF(SUMIF('Big Board (by rank)'!D:D,E161,'Big Board (by rank)'!I:I)=0,"",SUMIF('Big Board (by rank)'!D:D,E161,'Big Board (by rank)'!I:I))</f>
        <v>160</v>
      </c>
      <c r="B161" s="6">
        <v>125.0</v>
      </c>
      <c r="C161" s="6">
        <v>140.0</v>
      </c>
      <c r="D161" s="6">
        <v>125.0</v>
      </c>
      <c r="E161" s="7" t="s">
        <v>236</v>
      </c>
      <c r="F161" s="7" t="s">
        <v>22</v>
      </c>
      <c r="G161" s="6" t="s">
        <v>54</v>
      </c>
      <c r="H161" s="6">
        <v>7.0</v>
      </c>
      <c r="I161" s="8">
        <v>83.4</v>
      </c>
      <c r="J161" s="9">
        <v>160.0</v>
      </c>
      <c r="K161" s="8" t="s">
        <v>33</v>
      </c>
    </row>
    <row r="162">
      <c r="A162" s="11">
        <f>IF(SUMIF('Big Board (by rank)'!D:D,E162,'Big Board (by rank)'!I:I)=0,"",SUMIF('Big Board (by rank)'!D:D,E162,'Big Board (by rank)'!I:I))</f>
        <v>161</v>
      </c>
      <c r="B162" s="6">
        <v>100.0</v>
      </c>
      <c r="C162" s="6">
        <v>108.0</v>
      </c>
      <c r="D162" s="6">
        <v>99.0</v>
      </c>
      <c r="E162" s="7" t="s">
        <v>203</v>
      </c>
      <c r="F162" s="7" t="s">
        <v>204</v>
      </c>
      <c r="G162" s="6" t="s">
        <v>23</v>
      </c>
      <c r="H162" s="6">
        <v>5.0</v>
      </c>
      <c r="I162" s="8">
        <v>89.2</v>
      </c>
      <c r="J162" s="9">
        <v>161.0</v>
      </c>
      <c r="K162" s="8" t="s">
        <v>45</v>
      </c>
    </row>
    <row r="163">
      <c r="A163" s="11">
        <f>IF(SUMIF('Big Board (by rank)'!D:D,E163,'Big Board (by rank)'!I:I)=0,"",SUMIF('Big Board (by rank)'!D:D,E163,'Big Board (by rank)'!I:I))</f>
        <v>162</v>
      </c>
      <c r="B163" s="6">
        <v>86.0</v>
      </c>
      <c r="C163" s="6">
        <v>106.0</v>
      </c>
      <c r="D163" s="6">
        <v>84.0</v>
      </c>
      <c r="E163" s="7" t="s">
        <v>184</v>
      </c>
      <c r="F163" s="7" t="s">
        <v>185</v>
      </c>
      <c r="G163" s="6" t="s">
        <v>44</v>
      </c>
      <c r="H163" s="6">
        <v>12.0</v>
      </c>
      <c r="I163" s="8">
        <v>91.5</v>
      </c>
      <c r="J163" s="9">
        <v>162.0</v>
      </c>
      <c r="K163" s="8" t="s">
        <v>55</v>
      </c>
    </row>
    <row r="164">
      <c r="A164" s="11">
        <f>IF(SUMIF('Big Board (by rank)'!D:D,E164,'Big Board (by rank)'!I:I)=0,"",SUMIF('Big Board (by rank)'!D:D,E164,'Big Board (by rank)'!I:I))</f>
        <v>163</v>
      </c>
      <c r="B164" s="6">
        <v>151.0</v>
      </c>
      <c r="C164" s="6">
        <v>160.0</v>
      </c>
      <c r="D164" s="6">
        <v>149.0</v>
      </c>
      <c r="E164" s="7" t="s">
        <v>266</v>
      </c>
      <c r="F164" s="7" t="s">
        <v>267</v>
      </c>
      <c r="G164" s="6" t="s">
        <v>44</v>
      </c>
      <c r="H164" s="6">
        <v>21.0</v>
      </c>
      <c r="I164" s="8">
        <v>89.2</v>
      </c>
      <c r="J164" s="9">
        <v>163.0</v>
      </c>
      <c r="K164" s="8" t="s">
        <v>108</v>
      </c>
    </row>
    <row r="165">
      <c r="A165" s="11">
        <f>IF(SUMIF('Big Board (by rank)'!D:D,E165,'Big Board (by rank)'!I:I)=0,"",SUMIF('Big Board (by rank)'!D:D,E165,'Big Board (by rank)'!I:I))</f>
        <v>164</v>
      </c>
      <c r="B165" s="6">
        <v>153.0</v>
      </c>
      <c r="C165" s="6">
        <v>189.0</v>
      </c>
      <c r="D165" s="6">
        <v>152.0</v>
      </c>
      <c r="E165" s="7" t="s">
        <v>269</v>
      </c>
      <c r="F165" s="7" t="s">
        <v>270</v>
      </c>
      <c r="G165" s="6" t="s">
        <v>63</v>
      </c>
      <c r="H165" s="6">
        <v>10.0</v>
      </c>
      <c r="I165" s="8">
        <v>94.2</v>
      </c>
      <c r="J165" s="9">
        <v>164.0</v>
      </c>
      <c r="K165" s="8" t="s">
        <v>115</v>
      </c>
    </row>
    <row r="166">
      <c r="A166" s="11">
        <f>IF(SUMIF('Big Board (by rank)'!D:D,E166,'Big Board (by rank)'!I:I)=0,"",SUMIF('Big Board (by rank)'!D:D,E166,'Big Board (by rank)'!I:I))</f>
        <v>165</v>
      </c>
      <c r="B166" s="6">
        <v>133.0</v>
      </c>
      <c r="C166" s="6">
        <v>126.0</v>
      </c>
      <c r="D166" s="6">
        <v>136.0</v>
      </c>
      <c r="E166" s="7" t="s">
        <v>246</v>
      </c>
      <c r="F166" s="7" t="s">
        <v>53</v>
      </c>
      <c r="G166" s="6" t="s">
        <v>23</v>
      </c>
      <c r="H166" s="6">
        <v>7.0</v>
      </c>
      <c r="I166" s="8">
        <v>82.9</v>
      </c>
      <c r="J166" s="9">
        <v>165.0</v>
      </c>
      <c r="K166" s="8" t="s">
        <v>41</v>
      </c>
    </row>
    <row r="167">
      <c r="A167" s="11">
        <f>IF(SUMIF('Big Board (by rank)'!D:D,E167,'Big Board (by rank)'!I:I)=0,"",SUMIF('Big Board (by rank)'!D:D,E167,'Big Board (by rank)'!I:I))</f>
        <v>166</v>
      </c>
      <c r="B167" s="6">
        <v>134.0</v>
      </c>
      <c r="C167" s="6">
        <v>155.0</v>
      </c>
      <c r="D167" s="6">
        <v>132.0</v>
      </c>
      <c r="E167" s="7" t="s">
        <v>247</v>
      </c>
      <c r="F167" s="7" t="s">
        <v>59</v>
      </c>
      <c r="G167" s="6" t="s">
        <v>19</v>
      </c>
      <c r="H167" s="6">
        <v>10.0</v>
      </c>
      <c r="I167" s="8">
        <v>108.7</v>
      </c>
      <c r="J167" s="9">
        <v>166.0</v>
      </c>
      <c r="K167" s="8" t="s">
        <v>65</v>
      </c>
    </row>
    <row r="168">
      <c r="A168" s="11">
        <f>IF(SUMIF('Big Board (by rank)'!D:D,E168,'Big Board (by rank)'!I:I)=0,"",SUMIF('Big Board (by rank)'!D:D,E168,'Big Board (by rank)'!I:I))</f>
        <v>167</v>
      </c>
      <c r="B168" s="6">
        <v>91.0</v>
      </c>
      <c r="C168" s="6">
        <v>75.0</v>
      </c>
      <c r="D168" s="6">
        <v>94.0</v>
      </c>
      <c r="E168" s="7" t="s">
        <v>191</v>
      </c>
      <c r="F168" s="7" t="s">
        <v>119</v>
      </c>
      <c r="G168" s="6" t="s">
        <v>26</v>
      </c>
      <c r="H168" s="6">
        <v>7.0</v>
      </c>
      <c r="I168" s="8">
        <v>97.4</v>
      </c>
      <c r="J168" s="9">
        <v>167.0</v>
      </c>
      <c r="K168" s="8" t="s">
        <v>94</v>
      </c>
    </row>
    <row r="169">
      <c r="A169" s="11">
        <f>IF(SUMIF('Big Board (by rank)'!D:D,E169,'Big Board (by rank)'!I:I)=0,"",SUMIF('Big Board (by rank)'!D:D,E169,'Big Board (by rank)'!I:I))</f>
        <v>168</v>
      </c>
      <c r="B169" s="6">
        <v>200.0</v>
      </c>
      <c r="C169" s="6">
        <v>231.0</v>
      </c>
      <c r="D169" s="6">
        <v>193.0</v>
      </c>
      <c r="E169" s="7" t="s">
        <v>324</v>
      </c>
      <c r="F169" s="7" t="s">
        <v>212</v>
      </c>
      <c r="G169" s="6" t="s">
        <v>40</v>
      </c>
      <c r="H169" s="6">
        <v>27.0</v>
      </c>
      <c r="I169" s="8">
        <v>99.6</v>
      </c>
      <c r="J169" s="9">
        <v>168.0</v>
      </c>
      <c r="K169" s="8" t="s">
        <v>96</v>
      </c>
    </row>
    <row r="170">
      <c r="A170" s="11">
        <f>IF(SUMIF('Big Board (by rank)'!D:D,E170,'Big Board (by rank)'!I:I)=0,"",SUMIF('Big Board (by rank)'!D:D,E170,'Big Board (by rank)'!I:I))</f>
        <v>169</v>
      </c>
      <c r="B170" s="6">
        <v>240.0</v>
      </c>
      <c r="C170" s="6">
        <v>240.0</v>
      </c>
      <c r="D170" s="6">
        <v>242.0</v>
      </c>
      <c r="E170" s="7" t="s">
        <v>368</v>
      </c>
      <c r="F170" s="7" t="s">
        <v>14</v>
      </c>
      <c r="G170" s="6" t="s">
        <v>63</v>
      </c>
      <c r="H170" s="6">
        <v>19.0</v>
      </c>
      <c r="I170" s="8">
        <v>75.7</v>
      </c>
      <c r="J170" s="9">
        <v>169.0</v>
      </c>
      <c r="K170" s="8" t="s">
        <v>99</v>
      </c>
    </row>
    <row r="171">
      <c r="A171" s="11">
        <f>IF(SUMIF('Big Board (by rank)'!D:D,E171,'Big Board (by rank)'!I:I)=0,"",SUMIF('Big Board (by rank)'!D:D,E171,'Big Board (by rank)'!I:I))</f>
        <v>170</v>
      </c>
      <c r="B171" s="6">
        <v>169.0</v>
      </c>
      <c r="C171" s="6">
        <v>156.0</v>
      </c>
      <c r="D171" s="6">
        <v>154.0</v>
      </c>
      <c r="E171" s="7" t="s">
        <v>288</v>
      </c>
      <c r="F171" s="7" t="s">
        <v>133</v>
      </c>
      <c r="G171" s="6" t="s">
        <v>63</v>
      </c>
      <c r="H171" s="6">
        <v>13.0</v>
      </c>
      <c r="I171" s="8">
        <v>93.3</v>
      </c>
      <c r="J171" s="9">
        <v>170.0</v>
      </c>
      <c r="K171" s="8" t="s">
        <v>48</v>
      </c>
    </row>
    <row r="172">
      <c r="A172" s="11">
        <f>IF(SUMIF('Big Board (by rank)'!D:D,E172,'Big Board (by rank)'!I:I)=0,"",SUMIF('Big Board (by rank)'!D:D,E172,'Big Board (by rank)'!I:I))</f>
        <v>171</v>
      </c>
      <c r="B172" s="6">
        <v>512.0</v>
      </c>
      <c r="C172" s="6">
        <v>502.0</v>
      </c>
      <c r="D172" s="6">
        <v>480.0</v>
      </c>
      <c r="E172" s="7" t="s">
        <v>466</v>
      </c>
      <c r="F172" s="7" t="s">
        <v>259</v>
      </c>
      <c r="G172" s="6" t="s">
        <v>44</v>
      </c>
      <c r="H172" s="6">
        <v>57.0</v>
      </c>
      <c r="I172" s="8">
        <v>60.3</v>
      </c>
      <c r="J172" s="9">
        <v>171.0</v>
      </c>
      <c r="K172" s="8" t="s">
        <v>89</v>
      </c>
    </row>
    <row r="173">
      <c r="A173" s="11">
        <f>IF(SUMIF('Big Board (by rank)'!D:D,E173,'Big Board (by rank)'!I:I)=0,"",SUMIF('Big Board (by rank)'!D:D,E173,'Big Board (by rank)'!I:I))</f>
        <v>172</v>
      </c>
      <c r="B173" s="6">
        <v>263.0</v>
      </c>
      <c r="C173" s="6">
        <v>254.0</v>
      </c>
      <c r="D173" s="6">
        <v>267.0</v>
      </c>
      <c r="E173" s="7" t="s">
        <v>394</v>
      </c>
      <c r="F173" s="7" t="s">
        <v>18</v>
      </c>
      <c r="G173" s="6" t="s">
        <v>26</v>
      </c>
      <c r="H173" s="6">
        <v>21.0</v>
      </c>
      <c r="I173" s="8">
        <v>72.1</v>
      </c>
      <c r="J173" s="9">
        <v>172.0</v>
      </c>
      <c r="K173" s="8" t="s">
        <v>60</v>
      </c>
    </row>
    <row r="174">
      <c r="A174" s="11">
        <f>IF(SUMIF('Big Board (by rank)'!D:D,E174,'Big Board (by rank)'!I:I)=0,"",SUMIF('Big Board (by rank)'!D:D,E174,'Big Board (by rank)'!I:I))</f>
        <v>173</v>
      </c>
      <c r="B174" s="6">
        <v>196.0</v>
      </c>
      <c r="C174" s="6">
        <v>204.0</v>
      </c>
      <c r="D174" s="6">
        <v>194.0</v>
      </c>
      <c r="E174" s="7" t="s">
        <v>319</v>
      </c>
      <c r="F174" s="7" t="s">
        <v>70</v>
      </c>
      <c r="G174" s="6" t="s">
        <v>63</v>
      </c>
      <c r="H174" s="6">
        <v>16.0</v>
      </c>
      <c r="I174" s="8">
        <v>88.7</v>
      </c>
      <c r="J174" s="9">
        <v>173.0</v>
      </c>
      <c r="K174" s="8" t="s">
        <v>55</v>
      </c>
    </row>
    <row r="175">
      <c r="A175" s="11">
        <f>IF(SUMIF('Big Board (by rank)'!D:D,E175,'Big Board (by rank)'!I:I)=0,"",SUMIF('Big Board (by rank)'!D:D,E175,'Big Board (by rank)'!I:I))</f>
        <v>174</v>
      </c>
      <c r="B175" s="6">
        <v>204.0</v>
      </c>
      <c r="C175" s="6">
        <v>185.0</v>
      </c>
      <c r="D175" s="6">
        <v>207.0</v>
      </c>
      <c r="E175" s="7" t="s">
        <v>329</v>
      </c>
      <c r="F175" s="7" t="s">
        <v>75</v>
      </c>
      <c r="G175" s="6" t="s">
        <v>23</v>
      </c>
      <c r="H175" s="6">
        <v>12.0</v>
      </c>
      <c r="I175" s="8">
        <v>81.1</v>
      </c>
      <c r="J175" s="9">
        <v>174.0</v>
      </c>
      <c r="K175" s="8" t="s">
        <v>55</v>
      </c>
    </row>
    <row r="176">
      <c r="A176" s="11">
        <f>IF(SUMIF('Big Board (by rank)'!D:D,E176,'Big Board (by rank)'!I:I)=0,"",SUMIF('Big Board (by rank)'!D:D,E176,'Big Board (by rank)'!I:I))</f>
        <v>175</v>
      </c>
      <c r="B176" s="6">
        <v>166.0</v>
      </c>
      <c r="C176" s="6">
        <v>167.0</v>
      </c>
      <c r="D176" s="6">
        <v>162.0</v>
      </c>
      <c r="E176" s="7" t="s">
        <v>283</v>
      </c>
      <c r="F176" s="7" t="s">
        <v>284</v>
      </c>
      <c r="G176" s="6" t="s">
        <v>44</v>
      </c>
      <c r="H176" s="6">
        <v>22.0</v>
      </c>
      <c r="I176" s="8">
        <v>92.8</v>
      </c>
      <c r="J176" s="9">
        <v>175.0</v>
      </c>
      <c r="K176" s="8" t="s">
        <v>16</v>
      </c>
    </row>
    <row r="177">
      <c r="A177" s="11">
        <f>IF(SUMIF('Big Board (by rank)'!D:D,E177,'Big Board (by rank)'!I:I)=0,"",SUMIF('Big Board (by rank)'!D:D,E177,'Big Board (by rank)'!I:I))</f>
        <v>176</v>
      </c>
      <c r="B177" s="6">
        <v>184.0</v>
      </c>
      <c r="C177" s="6">
        <v>220.0</v>
      </c>
      <c r="D177" s="6">
        <v>179.0</v>
      </c>
      <c r="E177" s="7" t="s">
        <v>304</v>
      </c>
      <c r="F177" s="7" t="s">
        <v>133</v>
      </c>
      <c r="G177" s="6" t="s">
        <v>40</v>
      </c>
      <c r="H177" s="6">
        <v>24.0</v>
      </c>
      <c r="I177" s="8">
        <v>105.1</v>
      </c>
      <c r="J177" s="9">
        <v>176.0</v>
      </c>
      <c r="K177" s="8" t="s">
        <v>45</v>
      </c>
    </row>
    <row r="178">
      <c r="A178" s="11">
        <f>IF(SUMIF('Big Board (by rank)'!D:D,E178,'Big Board (by rank)'!I:I)=0,"",SUMIF('Big Board (by rank)'!D:D,E178,'Big Board (by rank)'!I:I))</f>
        <v>177</v>
      </c>
      <c r="B178" s="6">
        <v>152.0</v>
      </c>
      <c r="C178" s="6">
        <v>150.0</v>
      </c>
      <c r="D178" s="6">
        <v>151.0</v>
      </c>
      <c r="E178" s="7" t="s">
        <v>268</v>
      </c>
      <c r="F178" s="7" t="s">
        <v>112</v>
      </c>
      <c r="G178" s="6" t="s">
        <v>40</v>
      </c>
      <c r="H178" s="6">
        <v>21.0</v>
      </c>
      <c r="I178" s="8">
        <v>82.9</v>
      </c>
      <c r="J178" s="9">
        <v>177.0</v>
      </c>
      <c r="K178" s="8" t="s">
        <v>71</v>
      </c>
    </row>
    <row r="179">
      <c r="A179" s="11">
        <f>IF(SUMIF('Big Board (by rank)'!D:D,E179,'Big Board (by rank)'!I:I)=0,"",SUMIF('Big Board (by rank)'!D:D,E179,'Big Board (by rank)'!I:I))</f>
        <v>178</v>
      </c>
      <c r="B179" s="6">
        <v>127.0</v>
      </c>
      <c r="C179" s="6">
        <v>127.0</v>
      </c>
      <c r="D179" s="6">
        <v>124.0</v>
      </c>
      <c r="E179" s="7" t="s">
        <v>238</v>
      </c>
      <c r="F179" s="7" t="s">
        <v>187</v>
      </c>
      <c r="G179" s="6" t="s">
        <v>15</v>
      </c>
      <c r="H179" s="6">
        <v>6.0</v>
      </c>
      <c r="I179" s="8">
        <v>101.0</v>
      </c>
      <c r="J179" s="9">
        <v>178.0</v>
      </c>
      <c r="K179" s="8" t="s">
        <v>51</v>
      </c>
    </row>
    <row r="180">
      <c r="A180" s="11">
        <f>IF(SUMIF('Big Board (by rank)'!D:D,E180,'Big Board (by rank)'!I:I)=0,"",SUMIF('Big Board (by rank)'!D:D,E180,'Big Board (by rank)'!I:I))</f>
        <v>179</v>
      </c>
      <c r="B180" s="6">
        <v>280.0</v>
      </c>
      <c r="C180" s="6">
        <v>246.0</v>
      </c>
      <c r="D180" s="6">
        <v>287.0</v>
      </c>
      <c r="E180" s="7" t="s">
        <v>412</v>
      </c>
      <c r="F180" s="7" t="s">
        <v>413</v>
      </c>
      <c r="G180" s="6" t="s">
        <v>38</v>
      </c>
      <c r="H180" s="6">
        <v>21.0</v>
      </c>
      <c r="I180" s="8">
        <v>80.2</v>
      </c>
      <c r="J180" s="9">
        <v>179.0</v>
      </c>
      <c r="K180" s="8" t="s">
        <v>173</v>
      </c>
    </row>
    <row r="181">
      <c r="A181" s="11">
        <f>IF(SUMIF('Big Board (by rank)'!D:D,E181,'Big Board (by rank)'!I:I)=0,"",SUMIF('Big Board (by rank)'!D:D,E181,'Big Board (by rank)'!I:I))</f>
        <v>180</v>
      </c>
      <c r="B181" s="6">
        <v>309.0</v>
      </c>
      <c r="C181" s="6">
        <v>322.0</v>
      </c>
      <c r="D181" s="6">
        <v>318.0</v>
      </c>
      <c r="E181" s="7" t="s">
        <v>439</v>
      </c>
      <c r="F181" s="7" t="s">
        <v>216</v>
      </c>
      <c r="G181" s="6" t="s">
        <v>63</v>
      </c>
      <c r="H181" s="6">
        <v>26.0</v>
      </c>
      <c r="I181" s="8">
        <v>74.3</v>
      </c>
      <c r="J181" s="9">
        <v>180.0</v>
      </c>
      <c r="K181" s="8" t="s">
        <v>71</v>
      </c>
    </row>
    <row r="182">
      <c r="A182" s="11">
        <f>IF(SUMIF('Big Board (by rank)'!D:D,E182,'Big Board (by rank)'!I:I)=0,"",SUMIF('Big Board (by rank)'!D:D,E182,'Big Board (by rank)'!I:I))</f>
        <v>181</v>
      </c>
      <c r="B182" s="6">
        <v>140.0</v>
      </c>
      <c r="C182" s="6">
        <v>128.0</v>
      </c>
      <c r="D182" s="6">
        <v>141.0</v>
      </c>
      <c r="E182" s="7" t="s">
        <v>254</v>
      </c>
      <c r="F182" s="7" t="s">
        <v>53</v>
      </c>
      <c r="G182" s="6" t="s">
        <v>85</v>
      </c>
      <c r="H182" s="6">
        <v>6.0</v>
      </c>
      <c r="I182" s="8">
        <v>97.8</v>
      </c>
      <c r="J182" s="9">
        <v>181.0</v>
      </c>
      <c r="K182" s="8" t="s">
        <v>94</v>
      </c>
    </row>
    <row r="183">
      <c r="A183" s="11">
        <f>IF(SUMIF('Big Board (by rank)'!D:D,E183,'Big Board (by rank)'!I:I)=0,"",SUMIF('Big Board (by rank)'!D:D,E183,'Big Board (by rank)'!I:I))</f>
        <v>182</v>
      </c>
      <c r="B183" s="6">
        <v>148.0</v>
      </c>
      <c r="C183" s="6">
        <v>132.0</v>
      </c>
      <c r="D183" s="6">
        <v>153.0</v>
      </c>
      <c r="E183" s="7" t="s">
        <v>263</v>
      </c>
      <c r="F183" s="7" t="s">
        <v>166</v>
      </c>
      <c r="G183" s="6" t="s">
        <v>15</v>
      </c>
      <c r="H183" s="6">
        <v>7.0</v>
      </c>
      <c r="I183" s="8">
        <v>105.0</v>
      </c>
      <c r="J183" s="9">
        <v>182.0</v>
      </c>
      <c r="K183" s="8" t="s">
        <v>48</v>
      </c>
    </row>
    <row r="184">
      <c r="A184" s="11">
        <f>IF(SUMIF('Big Board (by rank)'!D:D,E184,'Big Board (by rank)'!I:I)=0,"",SUMIF('Big Board (by rank)'!D:D,E184,'Big Board (by rank)'!I:I))</f>
        <v>183</v>
      </c>
      <c r="B184" s="6">
        <v>301.0</v>
      </c>
      <c r="C184" s="6">
        <v>303.0</v>
      </c>
      <c r="D184" s="6">
        <v>299.0</v>
      </c>
      <c r="E184" s="7" t="s">
        <v>436</v>
      </c>
      <c r="F184" s="7" t="s">
        <v>153</v>
      </c>
      <c r="G184" s="6" t="s">
        <v>19</v>
      </c>
      <c r="H184" s="6">
        <v>28.0</v>
      </c>
      <c r="I184" s="8">
        <v>72.0</v>
      </c>
      <c r="J184" s="9">
        <v>183.0</v>
      </c>
      <c r="K184" s="8" t="s">
        <v>24</v>
      </c>
    </row>
    <row r="185">
      <c r="A185" s="11">
        <f>IF(SUMIF('Big Board (by rank)'!D:D,E185,'Big Board (by rank)'!I:I)=0,"",SUMIF('Big Board (by rank)'!D:D,E185,'Big Board (by rank)'!I:I))</f>
        <v>184</v>
      </c>
      <c r="B185" s="6">
        <v>326.0</v>
      </c>
      <c r="C185" s="6">
        <v>320.0</v>
      </c>
      <c r="D185" s="6">
        <v>343.0</v>
      </c>
      <c r="E185" s="7" t="s">
        <v>443</v>
      </c>
      <c r="F185" s="7" t="s">
        <v>227</v>
      </c>
      <c r="G185" s="6" t="s">
        <v>234</v>
      </c>
      <c r="H185" s="6">
        <v>9.0</v>
      </c>
      <c r="I185" s="8">
        <v>67.1</v>
      </c>
      <c r="J185" s="9">
        <v>184.0</v>
      </c>
      <c r="K185" s="8" t="s">
        <v>41</v>
      </c>
    </row>
    <row r="186">
      <c r="A186" s="11">
        <f>IF(SUMIF('Big Board (by rank)'!D:D,E186,'Big Board (by rank)'!I:I)=0,"",SUMIF('Big Board (by rank)'!D:D,E186,'Big Board (by rank)'!I:I))</f>
        <v>185</v>
      </c>
      <c r="B186" s="6">
        <v>355.0</v>
      </c>
      <c r="C186" s="6">
        <v>371.0</v>
      </c>
      <c r="D186" s="6">
        <v>336.0</v>
      </c>
      <c r="E186" s="7" t="s">
        <v>450</v>
      </c>
      <c r="F186" s="7" t="s">
        <v>43</v>
      </c>
      <c r="G186" s="6" t="s">
        <v>63</v>
      </c>
      <c r="H186" s="6">
        <v>30.0</v>
      </c>
      <c r="I186" s="8">
        <v>64.4</v>
      </c>
      <c r="J186" s="9">
        <v>185.0</v>
      </c>
      <c r="K186" s="8" t="s">
        <v>33</v>
      </c>
    </row>
    <row r="187">
      <c r="A187" s="11">
        <f>IF(SUMIF('Big Board (by rank)'!D:D,E187,'Big Board (by rank)'!I:I)=0,"",SUMIF('Big Board (by rank)'!D:D,E187,'Big Board (by rank)'!I:I))</f>
        <v>186</v>
      </c>
      <c r="B187" s="6">
        <v>351.0</v>
      </c>
      <c r="C187" s="6">
        <v>379.0</v>
      </c>
      <c r="D187" s="6">
        <v>350.0</v>
      </c>
      <c r="E187" s="7" t="s">
        <v>447</v>
      </c>
      <c r="F187" s="7" t="s">
        <v>73</v>
      </c>
      <c r="G187" s="6" t="s">
        <v>91</v>
      </c>
      <c r="H187" s="6">
        <v>13.0</v>
      </c>
      <c r="I187" s="8">
        <v>65.3</v>
      </c>
      <c r="J187" s="9">
        <v>186.0</v>
      </c>
      <c r="K187" s="8" t="s">
        <v>20</v>
      </c>
    </row>
    <row r="188">
      <c r="A188" s="11">
        <f>IF(SUMIF('Big Board (by rank)'!D:D,E188,'Big Board (by rank)'!I:I)=0,"",SUMIF('Big Board (by rank)'!D:D,E188,'Big Board (by rank)'!I:I))</f>
        <v>187</v>
      </c>
      <c r="B188" s="6">
        <v>130.0</v>
      </c>
      <c r="C188" s="6">
        <v>135.0</v>
      </c>
      <c r="D188" s="6">
        <v>129.0</v>
      </c>
      <c r="E188" s="7" t="s">
        <v>241</v>
      </c>
      <c r="F188" s="7" t="s">
        <v>53</v>
      </c>
      <c r="G188" s="6" t="s">
        <v>23</v>
      </c>
      <c r="H188" s="6">
        <v>6.0</v>
      </c>
      <c r="I188" s="8">
        <v>81.1</v>
      </c>
      <c r="J188" s="9">
        <v>187.0</v>
      </c>
      <c r="K188" s="8" t="s">
        <v>29</v>
      </c>
    </row>
    <row r="189">
      <c r="A189" s="11">
        <f>IF(SUMIF('Big Board (by rank)'!D:D,E189,'Big Board (by rank)'!I:I)=0,"",SUMIF('Big Board (by rank)'!D:D,E189,'Big Board (by rank)'!I:I))</f>
        <v>188</v>
      </c>
      <c r="B189" s="6">
        <v>212.0</v>
      </c>
      <c r="C189" s="6">
        <v>171.0</v>
      </c>
      <c r="D189" s="6">
        <v>213.0</v>
      </c>
      <c r="E189" s="7" t="s">
        <v>338</v>
      </c>
      <c r="F189" s="7" t="s">
        <v>31</v>
      </c>
      <c r="G189" s="6" t="s">
        <v>54</v>
      </c>
      <c r="H189" s="6">
        <v>15.0</v>
      </c>
      <c r="I189" s="8">
        <v>88.3</v>
      </c>
      <c r="J189" s="9">
        <v>188.0</v>
      </c>
      <c r="K189" s="8" t="s">
        <v>36</v>
      </c>
    </row>
    <row r="190">
      <c r="A190" s="11">
        <f>IF(SUMIF('Big Board (by rank)'!D:D,E190,'Big Board (by rank)'!I:I)=0,"",SUMIF('Big Board (by rank)'!D:D,E190,'Big Board (by rank)'!I:I))</f>
        <v>189</v>
      </c>
      <c r="B190" s="6">
        <v>111.0</v>
      </c>
      <c r="C190" s="6">
        <v>105.0</v>
      </c>
      <c r="D190" s="6">
        <v>110.0</v>
      </c>
      <c r="E190" s="7" t="s">
        <v>218</v>
      </c>
      <c r="F190" s="7" t="s">
        <v>185</v>
      </c>
      <c r="G190" s="6" t="s">
        <v>170</v>
      </c>
      <c r="H190" s="6">
        <v>6.0</v>
      </c>
      <c r="I190" s="8">
        <v>87.4</v>
      </c>
      <c r="J190" s="9">
        <v>189.0</v>
      </c>
      <c r="K190" s="8" t="s">
        <v>105</v>
      </c>
    </row>
    <row r="191">
      <c r="A191" s="11">
        <f>IF(SUMIF('Big Board (by rank)'!D:D,E191,'Big Board (by rank)'!I:I)=0,"",SUMIF('Big Board (by rank)'!D:D,E191,'Big Board (by rank)'!I:I))</f>
        <v>190</v>
      </c>
      <c r="B191" s="6">
        <v>249.0</v>
      </c>
      <c r="C191" s="6">
        <v>228.0</v>
      </c>
      <c r="D191" s="6">
        <v>253.0</v>
      </c>
      <c r="E191" s="7" t="s">
        <v>378</v>
      </c>
      <c r="F191" s="7" t="s">
        <v>43</v>
      </c>
      <c r="G191" s="6" t="s">
        <v>40</v>
      </c>
      <c r="H191" s="6">
        <v>34.0</v>
      </c>
      <c r="I191" s="8">
        <v>70.7</v>
      </c>
      <c r="J191" s="9">
        <v>190.0</v>
      </c>
      <c r="K191" s="8" t="s">
        <v>60</v>
      </c>
    </row>
    <row r="192">
      <c r="A192" s="11">
        <f>IF(SUMIF('Big Board (by rank)'!D:D,E192,'Big Board (by rank)'!I:I)=0,"",SUMIF('Big Board (by rank)'!D:D,E192,'Big Board (by rank)'!I:I))</f>
        <v>191</v>
      </c>
      <c r="B192" s="6">
        <v>159.0</v>
      </c>
      <c r="C192" s="6">
        <v>133.0</v>
      </c>
      <c r="D192" s="6">
        <v>160.0</v>
      </c>
      <c r="E192" s="7" t="s">
        <v>276</v>
      </c>
      <c r="F192" s="7" t="s">
        <v>227</v>
      </c>
      <c r="G192" s="6" t="s">
        <v>40</v>
      </c>
      <c r="H192" s="6">
        <v>22.0</v>
      </c>
      <c r="I192" s="8">
        <v>96.9</v>
      </c>
      <c r="J192" s="9">
        <v>191.0</v>
      </c>
      <c r="K192" s="8" t="s">
        <v>115</v>
      </c>
    </row>
    <row r="193">
      <c r="A193" s="11">
        <f>IF(SUMIF('Big Board (by rank)'!D:D,E193,'Big Board (by rank)'!I:I)=0,"",SUMIF('Big Board (by rank)'!D:D,E193,'Big Board (by rank)'!I:I))</f>
        <v>192</v>
      </c>
      <c r="B193" s="6">
        <v>154.0</v>
      </c>
      <c r="C193" s="6">
        <v>187.0</v>
      </c>
      <c r="D193" s="6">
        <v>150.0</v>
      </c>
      <c r="E193" s="7" t="s">
        <v>271</v>
      </c>
      <c r="F193" s="7" t="s">
        <v>130</v>
      </c>
      <c r="G193" s="6" t="s">
        <v>38</v>
      </c>
      <c r="H193" s="6">
        <v>14.0</v>
      </c>
      <c r="I193" s="8">
        <v>90.6</v>
      </c>
      <c r="J193" s="9">
        <v>192.0</v>
      </c>
      <c r="K193" s="8" t="s">
        <v>20</v>
      </c>
    </row>
    <row r="194">
      <c r="A194" s="11">
        <f>IF(SUMIF('Big Board (by rank)'!D:D,E194,'Big Board (by rank)'!I:I)=0,"",SUMIF('Big Board (by rank)'!D:D,E194,'Big Board (by rank)'!I:I))</f>
        <v>193</v>
      </c>
      <c r="B194" s="6">
        <v>189.0</v>
      </c>
      <c r="C194" s="6">
        <v>186.0</v>
      </c>
      <c r="D194" s="6">
        <v>197.0</v>
      </c>
      <c r="E194" s="7" t="s">
        <v>311</v>
      </c>
      <c r="F194" s="7" t="s">
        <v>312</v>
      </c>
      <c r="G194" s="6" t="s">
        <v>19</v>
      </c>
      <c r="H194" s="6">
        <v>17.0</v>
      </c>
      <c r="I194" s="8">
        <v>98.7</v>
      </c>
      <c r="J194" s="9">
        <v>193.0</v>
      </c>
      <c r="K194" s="8" t="s">
        <v>20</v>
      </c>
    </row>
    <row r="195">
      <c r="A195" s="11">
        <f>IF(SUMIF('Big Board (by rank)'!D:D,E195,'Big Board (by rank)'!I:I)=0,"",SUMIF('Big Board (by rank)'!D:D,E195,'Big Board (by rank)'!I:I))</f>
        <v>194</v>
      </c>
      <c r="B195" s="6">
        <v>192.0</v>
      </c>
      <c r="C195" s="6">
        <v>203.0</v>
      </c>
      <c r="D195" s="6">
        <v>191.0</v>
      </c>
      <c r="E195" s="7" t="s">
        <v>315</v>
      </c>
      <c r="F195" s="7" t="s">
        <v>14</v>
      </c>
      <c r="G195" s="6" t="s">
        <v>170</v>
      </c>
      <c r="H195" s="6">
        <v>10.0</v>
      </c>
      <c r="I195" s="8">
        <v>92.4</v>
      </c>
      <c r="J195" s="9">
        <v>194.0</v>
      </c>
      <c r="K195" s="8" t="s">
        <v>41</v>
      </c>
    </row>
    <row r="196">
      <c r="A196" s="11">
        <f>IF(SUMIF('Big Board (by rank)'!D:D,E196,'Big Board (by rank)'!I:I)=0,"",SUMIF('Big Board (by rank)'!D:D,E196,'Big Board (by rank)'!I:I))</f>
        <v>195</v>
      </c>
      <c r="B196" s="6">
        <v>229.0</v>
      </c>
      <c r="C196" s="6">
        <v>198.0</v>
      </c>
      <c r="D196" s="6">
        <v>233.0</v>
      </c>
      <c r="E196" s="7" t="s">
        <v>357</v>
      </c>
      <c r="F196" s="7" t="s">
        <v>62</v>
      </c>
      <c r="G196" s="6" t="s">
        <v>40</v>
      </c>
      <c r="H196" s="6">
        <v>31.0</v>
      </c>
      <c r="I196" s="8">
        <v>94.6</v>
      </c>
      <c r="J196" s="9">
        <v>195.0</v>
      </c>
      <c r="K196" s="8" t="s">
        <v>16</v>
      </c>
    </row>
    <row r="197">
      <c r="A197" s="11">
        <f>IF(SUMIF('Big Board (by rank)'!D:D,E197,'Big Board (by rank)'!I:I)=0,"",SUMIF('Big Board (by rank)'!D:D,E197,'Big Board (by rank)'!I:I))</f>
        <v>196</v>
      </c>
      <c r="B197" s="6">
        <v>124.0</v>
      </c>
      <c r="C197" s="6">
        <v>116.0</v>
      </c>
      <c r="D197" s="6">
        <v>128.0</v>
      </c>
      <c r="E197" s="7" t="s">
        <v>235</v>
      </c>
      <c r="F197" s="7" t="s">
        <v>80</v>
      </c>
      <c r="G197" s="6" t="s">
        <v>38</v>
      </c>
      <c r="H197" s="6">
        <v>11.0</v>
      </c>
      <c r="I197" s="8">
        <v>94.2</v>
      </c>
      <c r="J197" s="9">
        <v>196.0</v>
      </c>
      <c r="K197" s="8" t="s">
        <v>89</v>
      </c>
    </row>
    <row r="198">
      <c r="A198" s="11">
        <f>IF(SUMIF('Big Board (by rank)'!D:D,E198,'Big Board (by rank)'!I:I)=0,"",SUMIF('Big Board (by rank)'!D:D,E198,'Big Board (by rank)'!I:I))</f>
        <v>197</v>
      </c>
      <c r="B198" s="6">
        <v>202.0</v>
      </c>
      <c r="C198" s="6">
        <v>251.0</v>
      </c>
      <c r="D198" s="6">
        <v>189.0</v>
      </c>
      <c r="E198" s="7" t="s">
        <v>327</v>
      </c>
      <c r="F198" s="7" t="s">
        <v>31</v>
      </c>
      <c r="G198" s="6" t="s">
        <v>40</v>
      </c>
      <c r="H198" s="6">
        <v>28.0</v>
      </c>
      <c r="I198" s="8">
        <v>110.9</v>
      </c>
      <c r="J198" s="9">
        <v>197.0</v>
      </c>
      <c r="K198" s="8" t="s">
        <v>110</v>
      </c>
    </row>
    <row r="199">
      <c r="A199" s="11">
        <f>IF(SUMIF('Big Board (by rank)'!D:D,E199,'Big Board (by rank)'!I:I)=0,"",SUMIF('Big Board (by rank)'!D:D,E199,'Big Board (by rank)'!I:I))</f>
        <v>198</v>
      </c>
      <c r="B199" s="6">
        <v>144.0</v>
      </c>
      <c r="C199" s="6">
        <v>154.0</v>
      </c>
      <c r="D199" s="6">
        <v>148.0</v>
      </c>
      <c r="E199" s="7" t="s">
        <v>258</v>
      </c>
      <c r="F199" s="7" t="s">
        <v>259</v>
      </c>
      <c r="G199" s="6" t="s">
        <v>23</v>
      </c>
      <c r="H199" s="6">
        <v>8.0</v>
      </c>
      <c r="I199" s="8">
        <v>84.7</v>
      </c>
      <c r="J199" s="9">
        <v>198.0</v>
      </c>
      <c r="K199" s="8" t="s">
        <v>108</v>
      </c>
    </row>
    <row r="200">
      <c r="A200" s="11">
        <f>IF(SUMIF('Big Board (by rank)'!D:D,E200,'Big Board (by rank)'!I:I)=0,"",SUMIF('Big Board (by rank)'!D:D,E200,'Big Board (by rank)'!I:I))</f>
        <v>199</v>
      </c>
      <c r="B200" s="6">
        <v>338.0</v>
      </c>
      <c r="C200" s="6">
        <v>347.0</v>
      </c>
      <c r="D200" s="6">
        <v>342.0</v>
      </c>
      <c r="E200" s="7" t="s">
        <v>444</v>
      </c>
      <c r="F200" s="7" t="s">
        <v>413</v>
      </c>
      <c r="G200" s="6" t="s">
        <v>40</v>
      </c>
      <c r="H200" s="6">
        <v>46.0</v>
      </c>
      <c r="I200" s="8">
        <v>67.1</v>
      </c>
      <c r="J200" s="9">
        <v>199.0</v>
      </c>
      <c r="K200" s="8" t="s">
        <v>135</v>
      </c>
    </row>
    <row r="201">
      <c r="A201" s="11">
        <f>IF(SUMIF('Big Board (by rank)'!D:D,E201,'Big Board (by rank)'!I:I)=0,"",SUMIF('Big Board (by rank)'!D:D,E201,'Big Board (by rank)'!I:I))</f>
        <v>200</v>
      </c>
      <c r="B201" s="6">
        <v>195.0</v>
      </c>
      <c r="C201" s="6">
        <v>182.0</v>
      </c>
      <c r="D201" s="6">
        <v>199.0</v>
      </c>
      <c r="E201" s="7" t="s">
        <v>318</v>
      </c>
      <c r="F201" s="7" t="s">
        <v>128</v>
      </c>
      <c r="G201" s="6" t="s">
        <v>54</v>
      </c>
      <c r="H201" s="6">
        <v>14.0</v>
      </c>
      <c r="I201" s="8">
        <v>85.6</v>
      </c>
      <c r="J201" s="9">
        <v>200.0</v>
      </c>
      <c r="K201" s="8" t="s">
        <v>71</v>
      </c>
    </row>
    <row r="202">
      <c r="A202" s="11">
        <f>IF(SUMIF('Big Board (by rank)'!D:D,E202,'Big Board (by rank)'!I:I)=0,"",SUMIF('Big Board (by rank)'!D:D,E202,'Big Board (by rank)'!I:I))</f>
        <v>201</v>
      </c>
      <c r="B202" s="6">
        <v>211.0</v>
      </c>
      <c r="C202" s="6">
        <v>191.0</v>
      </c>
      <c r="D202" s="6">
        <v>211.0</v>
      </c>
      <c r="E202" s="7" t="s">
        <v>337</v>
      </c>
      <c r="F202" s="7" t="s">
        <v>70</v>
      </c>
      <c r="G202" s="6" t="s">
        <v>44</v>
      </c>
      <c r="H202" s="6">
        <v>24.0</v>
      </c>
      <c r="I202" s="8">
        <v>95.1</v>
      </c>
      <c r="J202" s="9">
        <v>201.0</v>
      </c>
      <c r="K202" s="8" t="s">
        <v>120</v>
      </c>
    </row>
    <row r="203">
      <c r="A203" s="11">
        <f>IF(SUMIF('Big Board (by rank)'!D:D,E203,'Big Board (by rank)'!I:I)=0,"",SUMIF('Big Board (by rank)'!D:D,E203,'Big Board (by rank)'!I:I))</f>
        <v>202</v>
      </c>
      <c r="B203" s="6">
        <v>218.0</v>
      </c>
      <c r="C203" s="6">
        <v>211.0</v>
      </c>
      <c r="D203" s="6">
        <v>223.0</v>
      </c>
      <c r="E203" s="7" t="s">
        <v>346</v>
      </c>
      <c r="F203" s="7" t="s">
        <v>245</v>
      </c>
      <c r="G203" s="6" t="s">
        <v>54</v>
      </c>
      <c r="H203" s="6">
        <v>16.0</v>
      </c>
      <c r="I203" s="8">
        <v>79.7</v>
      </c>
      <c r="J203" s="9">
        <v>202.0</v>
      </c>
      <c r="K203" s="8" t="s">
        <v>78</v>
      </c>
    </row>
    <row r="204">
      <c r="A204" s="11">
        <f>IF(SUMIF('Big Board (by rank)'!D:D,E204,'Big Board (by rank)'!I:I)=0,"",SUMIF('Big Board (by rank)'!D:D,E204,'Big Board (by rank)'!I:I))</f>
        <v>203</v>
      </c>
      <c r="B204" s="6">
        <v>678.0</v>
      </c>
      <c r="C204" s="6">
        <v>584.0</v>
      </c>
      <c r="D204" s="6">
        <v>682.0</v>
      </c>
      <c r="E204" s="7" t="s">
        <v>469</v>
      </c>
      <c r="F204" s="7" t="s">
        <v>208</v>
      </c>
      <c r="G204" s="6" t="s">
        <v>40</v>
      </c>
      <c r="H204" s="6">
        <v>87.0</v>
      </c>
      <c r="I204" s="8">
        <v>68.9</v>
      </c>
      <c r="J204" s="9">
        <v>203.0</v>
      </c>
      <c r="K204" s="8" t="s">
        <v>115</v>
      </c>
    </row>
    <row r="205">
      <c r="A205" s="11">
        <f>IF(SUMIF('Big Board (by rank)'!D:D,E205,'Big Board (by rank)'!I:I)=0,"",SUMIF('Big Board (by rank)'!D:D,E205,'Big Board (by rank)'!I:I))</f>
        <v>204</v>
      </c>
      <c r="B205" s="6">
        <v>264.0</v>
      </c>
      <c r="C205" s="6">
        <v>317.0</v>
      </c>
      <c r="D205" s="6">
        <v>264.0</v>
      </c>
      <c r="E205" s="7" t="s">
        <v>395</v>
      </c>
      <c r="F205" s="7" t="s">
        <v>245</v>
      </c>
      <c r="G205" s="6" t="s">
        <v>40</v>
      </c>
      <c r="H205" s="6">
        <v>39.0</v>
      </c>
      <c r="I205" s="8">
        <v>79.3</v>
      </c>
      <c r="J205" s="9">
        <v>204.0</v>
      </c>
      <c r="K205" s="8" t="s">
        <v>92</v>
      </c>
    </row>
    <row r="206">
      <c r="A206" s="11">
        <f>IF(SUMIF('Big Board (by rank)'!D:D,E206,'Big Board (by rank)'!I:I)=0,"",SUMIF('Big Board (by rank)'!D:D,E206,'Big Board (by rank)'!I:I))</f>
        <v>205</v>
      </c>
      <c r="B206" s="6">
        <v>227.0</v>
      </c>
      <c r="C206" s="6">
        <v>269.0</v>
      </c>
      <c r="D206" s="6">
        <v>217.0</v>
      </c>
      <c r="E206" s="7" t="s">
        <v>355</v>
      </c>
      <c r="F206" s="7" t="s">
        <v>35</v>
      </c>
      <c r="G206" s="6" t="s">
        <v>234</v>
      </c>
      <c r="H206" s="6">
        <v>5.0</v>
      </c>
      <c r="I206" s="8">
        <v>87.0</v>
      </c>
      <c r="J206" s="9">
        <v>205.0</v>
      </c>
      <c r="K206" s="8" t="s">
        <v>96</v>
      </c>
    </row>
    <row r="207">
      <c r="A207" s="11">
        <f>IF(SUMIF('Big Board (by rank)'!D:D,E207,'Big Board (by rank)'!I:I)=0,"",SUMIF('Big Board (by rank)'!D:D,E207,'Big Board (by rank)'!I:I))</f>
        <v>206</v>
      </c>
      <c r="B207" s="6">
        <v>246.0</v>
      </c>
      <c r="C207" s="6">
        <v>184.0</v>
      </c>
      <c r="D207" s="6">
        <v>260.0</v>
      </c>
      <c r="E207" s="7" t="s">
        <v>375</v>
      </c>
      <c r="F207" s="7" t="s">
        <v>62</v>
      </c>
      <c r="G207" s="6" t="s">
        <v>54</v>
      </c>
      <c r="H207" s="6">
        <v>21.0</v>
      </c>
      <c r="I207" s="8">
        <v>82.0</v>
      </c>
      <c r="J207" s="9">
        <v>206.0</v>
      </c>
      <c r="K207" s="8" t="s">
        <v>78</v>
      </c>
    </row>
    <row r="208">
      <c r="A208" s="11">
        <f>IF(SUMIF('Big Board (by rank)'!D:D,E208,'Big Board (by rank)'!I:I)=0,"",SUMIF('Big Board (by rank)'!D:D,E208,'Big Board (by rank)'!I:I))</f>
        <v>207</v>
      </c>
      <c r="B208" s="6">
        <v>221.0</v>
      </c>
      <c r="C208" s="6">
        <v>253.0</v>
      </c>
      <c r="D208" s="6">
        <v>222.0</v>
      </c>
      <c r="E208" s="7" t="s">
        <v>349</v>
      </c>
      <c r="F208" s="7" t="s">
        <v>67</v>
      </c>
      <c r="G208" s="6" t="s">
        <v>54</v>
      </c>
      <c r="H208" s="6">
        <v>17.0</v>
      </c>
      <c r="I208" s="8">
        <v>72.5</v>
      </c>
      <c r="J208" s="9">
        <v>207.0</v>
      </c>
      <c r="K208" s="8" t="s">
        <v>51</v>
      </c>
    </row>
    <row r="209">
      <c r="A209" s="11">
        <f>IF(SUMIF('Big Board (by rank)'!D:D,E209,'Big Board (by rank)'!I:I)=0,"",SUMIF('Big Board (by rank)'!D:D,E209,'Big Board (by rank)'!I:I))</f>
        <v>208</v>
      </c>
      <c r="B209" s="6">
        <v>433.0</v>
      </c>
      <c r="C209" s="6">
        <v>350.0</v>
      </c>
      <c r="D209" s="6">
        <v>459.0</v>
      </c>
      <c r="E209" s="7" t="s">
        <v>463</v>
      </c>
      <c r="F209" s="7" t="s">
        <v>87</v>
      </c>
      <c r="G209" s="6" t="s">
        <v>85</v>
      </c>
      <c r="H209" s="6">
        <v>19.0</v>
      </c>
      <c r="I209" s="8">
        <v>84.2</v>
      </c>
      <c r="J209" s="9">
        <v>208.0</v>
      </c>
      <c r="K209" s="8" t="s">
        <v>76</v>
      </c>
    </row>
    <row r="210">
      <c r="A210" s="11">
        <f>IF(SUMIF('Big Board (by rank)'!D:D,E210,'Big Board (by rank)'!I:I)=0,"",SUMIF('Big Board (by rank)'!D:D,E210,'Big Board (by rank)'!I:I))</f>
        <v>209</v>
      </c>
      <c r="B210" s="6">
        <v>168.0</v>
      </c>
      <c r="C210" s="6">
        <v>196.0</v>
      </c>
      <c r="D210" s="6">
        <v>161.0</v>
      </c>
      <c r="E210" s="7" t="s">
        <v>286</v>
      </c>
      <c r="F210" s="7" t="s">
        <v>287</v>
      </c>
      <c r="G210" s="6" t="s">
        <v>170</v>
      </c>
      <c r="H210" s="6">
        <v>7.0</v>
      </c>
      <c r="I210" s="8">
        <v>91.9</v>
      </c>
      <c r="J210" s="9">
        <v>209.0</v>
      </c>
      <c r="K210" s="8" t="s">
        <v>29</v>
      </c>
    </row>
    <row r="211">
      <c r="A211" s="11">
        <f>IF(SUMIF('Big Board (by rank)'!D:D,E211,'Big Board (by rank)'!I:I)=0,"",SUMIF('Big Board (by rank)'!D:D,E211,'Big Board (by rank)'!I:I))</f>
        <v>210</v>
      </c>
      <c r="B211" s="6">
        <v>635.0</v>
      </c>
      <c r="C211" s="6">
        <v>540.0</v>
      </c>
      <c r="D211" s="6">
        <v>625.0</v>
      </c>
      <c r="E211" s="7" t="s">
        <v>468</v>
      </c>
      <c r="F211" s="7" t="s">
        <v>22</v>
      </c>
      <c r="G211" s="6" t="s">
        <v>85</v>
      </c>
      <c r="H211" s="6">
        <v>35.0</v>
      </c>
      <c r="I211" s="8">
        <v>68.9</v>
      </c>
      <c r="J211" s="9">
        <v>210.0</v>
      </c>
      <c r="K211" s="8" t="s">
        <v>99</v>
      </c>
    </row>
    <row r="212">
      <c r="A212" s="11">
        <f>IF(SUMIF('Big Board (by rank)'!D:D,E212,'Big Board (by rank)'!I:I)=0,"",SUMIF('Big Board (by rank)'!D:D,E212,'Big Board (by rank)'!I:I))</f>
        <v>211</v>
      </c>
      <c r="B212" s="6">
        <v>360.0</v>
      </c>
      <c r="C212" s="6">
        <v>256.0</v>
      </c>
      <c r="D212" s="6">
        <v>425.0</v>
      </c>
      <c r="E212" s="7" t="s">
        <v>453</v>
      </c>
      <c r="F212" s="7" t="s">
        <v>287</v>
      </c>
      <c r="G212" s="6" t="s">
        <v>454</v>
      </c>
      <c r="H212" s="6">
        <v>2.0</v>
      </c>
      <c r="I212" s="8">
        <v>83.4</v>
      </c>
      <c r="J212" s="9">
        <v>211.0</v>
      </c>
      <c r="K212" s="8" t="s">
        <v>55</v>
      </c>
    </row>
    <row r="213">
      <c r="A213" s="11">
        <f>IF(SUMIF('Big Board (by rank)'!D:D,E213,'Big Board (by rank)'!I:I)=0,"",SUMIF('Big Board (by rank)'!D:D,E213,'Big Board (by rank)'!I:I))</f>
        <v>212</v>
      </c>
      <c r="B213" s="6">
        <v>297.0</v>
      </c>
      <c r="C213" s="6">
        <v>255.0</v>
      </c>
      <c r="D213" s="6">
        <v>304.0</v>
      </c>
      <c r="E213" s="7" t="s">
        <v>432</v>
      </c>
      <c r="F213" s="7" t="s">
        <v>175</v>
      </c>
      <c r="G213" s="6" t="s">
        <v>19</v>
      </c>
      <c r="H213" s="6">
        <v>27.0</v>
      </c>
      <c r="I213" s="8">
        <v>67.1</v>
      </c>
      <c r="J213" s="9">
        <v>212.0</v>
      </c>
      <c r="K213" s="8" t="s">
        <v>89</v>
      </c>
    </row>
    <row r="214">
      <c r="A214" s="11">
        <f>IF(SUMIF('Big Board (by rank)'!D:D,E214,'Big Board (by rank)'!I:I)=0,"",SUMIF('Big Board (by rank)'!D:D,E214,'Big Board (by rank)'!I:I))</f>
        <v>213</v>
      </c>
      <c r="B214" s="6">
        <v>244.0</v>
      </c>
      <c r="C214" s="6">
        <v>226.0</v>
      </c>
      <c r="D214" s="6">
        <v>235.0</v>
      </c>
      <c r="E214" s="7" t="s">
        <v>373</v>
      </c>
      <c r="F214" s="7" t="s">
        <v>144</v>
      </c>
      <c r="G214" s="6" t="s">
        <v>234</v>
      </c>
      <c r="H214" s="6">
        <v>6.0</v>
      </c>
      <c r="I214" s="8">
        <v>103.7</v>
      </c>
      <c r="J214" s="9">
        <v>213.0</v>
      </c>
      <c r="K214" s="8" t="s">
        <v>65</v>
      </c>
    </row>
    <row r="215">
      <c r="A215" s="11">
        <f>IF(SUMIF('Big Board (by rank)'!D:D,E215,'Big Board (by rank)'!I:I)=0,"",SUMIF('Big Board (by rank)'!D:D,E215,'Big Board (by rank)'!I:I))</f>
        <v>214</v>
      </c>
      <c r="B215" s="6">
        <v>161.0</v>
      </c>
      <c r="C215" s="6">
        <v>161.0</v>
      </c>
      <c r="D215" s="6">
        <v>167.0</v>
      </c>
      <c r="E215" s="7" t="s">
        <v>278</v>
      </c>
      <c r="F215" s="7" t="s">
        <v>18</v>
      </c>
      <c r="G215" s="6" t="s">
        <v>32</v>
      </c>
      <c r="H215" s="6">
        <v>20.0</v>
      </c>
      <c r="I215" s="8">
        <v>91.9</v>
      </c>
      <c r="J215" s="9">
        <v>214.0</v>
      </c>
      <c r="K215" s="8" t="s">
        <v>103</v>
      </c>
    </row>
    <row r="216">
      <c r="A216" s="11">
        <f>IF(SUMIF('Big Board (by rank)'!D:D,E216,'Big Board (by rank)'!I:I)=0,"",SUMIF('Big Board (by rank)'!D:D,E216,'Big Board (by rank)'!I:I))</f>
        <v>215</v>
      </c>
      <c r="B216" s="6">
        <v>139.0</v>
      </c>
      <c r="C216" s="6">
        <v>121.0</v>
      </c>
      <c r="D216" s="6">
        <v>146.0</v>
      </c>
      <c r="E216" s="7" t="s">
        <v>253</v>
      </c>
      <c r="F216" s="7" t="s">
        <v>43</v>
      </c>
      <c r="G216" s="6" t="s">
        <v>19</v>
      </c>
      <c r="H216" s="6">
        <v>12.0</v>
      </c>
      <c r="I216" s="8">
        <v>88.8</v>
      </c>
      <c r="J216" s="9">
        <v>215.0</v>
      </c>
      <c r="K216" s="8" t="s">
        <v>76</v>
      </c>
    </row>
    <row r="217">
      <c r="A217" s="11">
        <f>IF(SUMIF('Big Board (by rank)'!D:D,E217,'Big Board (by rank)'!I:I)=0,"",SUMIF('Big Board (by rank)'!D:D,E217,'Big Board (by rank)'!I:I))</f>
        <v>216</v>
      </c>
      <c r="B217" s="6">
        <v>352.0</v>
      </c>
      <c r="C217" s="6">
        <v>289.0</v>
      </c>
      <c r="D217" s="6">
        <v>359.0</v>
      </c>
      <c r="E217" s="7" t="s">
        <v>448</v>
      </c>
      <c r="F217" s="7" t="s">
        <v>107</v>
      </c>
      <c r="G217" s="6" t="s">
        <v>449</v>
      </c>
      <c r="H217" s="6">
        <v>1.0</v>
      </c>
      <c r="I217" s="8">
        <v>83.8</v>
      </c>
      <c r="J217" s="9">
        <v>216.0</v>
      </c>
      <c r="K217" s="8" t="s">
        <v>120</v>
      </c>
    </row>
    <row r="218">
      <c r="A218" s="11">
        <f>IF(SUMIF('Big Board (by rank)'!D:D,E218,'Big Board (by rank)'!I:I)=0,"",SUMIF('Big Board (by rank)'!D:D,E218,'Big Board (by rank)'!I:I))</f>
        <v>217</v>
      </c>
      <c r="B218" s="6">
        <v>386.0</v>
      </c>
      <c r="C218" s="6">
        <v>368.0</v>
      </c>
      <c r="D218" s="6">
        <v>375.0</v>
      </c>
      <c r="E218" s="7" t="s">
        <v>460</v>
      </c>
      <c r="F218" s="7" t="s">
        <v>202</v>
      </c>
      <c r="G218" s="6" t="s">
        <v>38</v>
      </c>
      <c r="H218" s="6">
        <v>27.0</v>
      </c>
      <c r="I218" s="8">
        <v>64.4</v>
      </c>
      <c r="J218" s="9">
        <v>217.0</v>
      </c>
      <c r="K218" s="8" t="s">
        <v>24</v>
      </c>
    </row>
    <row r="219">
      <c r="A219" s="11">
        <f>IF(SUMIF('Big Board (by rank)'!D:D,E219,'Big Board (by rank)'!I:I)=0,"",SUMIF('Big Board (by rank)'!D:D,E219,'Big Board (by rank)'!I:I))</f>
        <v>218</v>
      </c>
      <c r="B219" s="6">
        <v>438.0</v>
      </c>
      <c r="C219" s="6">
        <v>396.0</v>
      </c>
      <c r="D219" s="6">
        <v>447.0</v>
      </c>
      <c r="E219" s="7" t="s">
        <v>464</v>
      </c>
      <c r="F219" s="7" t="s">
        <v>465</v>
      </c>
      <c r="G219" s="6" t="s">
        <v>40</v>
      </c>
      <c r="H219" s="6">
        <v>59.0</v>
      </c>
      <c r="I219" s="8">
        <v>66.2</v>
      </c>
      <c r="J219" s="9">
        <v>218.0</v>
      </c>
      <c r="K219" s="8" t="s">
        <v>27</v>
      </c>
    </row>
    <row r="220">
      <c r="A220" s="11">
        <f>IF(SUMIF('Big Board (by rank)'!D:D,E220,'Big Board (by rank)'!I:I)=0,"",SUMIF('Big Board (by rank)'!D:D,E220,'Big Board (by rank)'!I:I))</f>
        <v>219</v>
      </c>
      <c r="B220" s="6">
        <v>209.0</v>
      </c>
      <c r="C220" s="6">
        <v>199.0</v>
      </c>
      <c r="D220" s="6">
        <v>210.0</v>
      </c>
      <c r="E220" s="7" t="s">
        <v>335</v>
      </c>
      <c r="F220" s="7" t="s">
        <v>153</v>
      </c>
      <c r="G220" s="6" t="s">
        <v>44</v>
      </c>
      <c r="H220" s="6">
        <v>23.0</v>
      </c>
      <c r="I220" s="8">
        <v>96.0</v>
      </c>
      <c r="J220" s="9">
        <v>219.0</v>
      </c>
      <c r="K220" s="8" t="s">
        <v>60</v>
      </c>
    </row>
    <row r="221">
      <c r="A221" s="11">
        <f>IF(SUMIF('Big Board (by rank)'!D:D,E221,'Big Board (by rank)'!I:I)=0,"",SUMIF('Big Board (by rank)'!D:D,E221,'Big Board (by rank)'!I:I))</f>
        <v>220</v>
      </c>
      <c r="B221" s="6">
        <v>262.0</v>
      </c>
      <c r="C221" s="6">
        <v>243.0</v>
      </c>
      <c r="D221" s="6">
        <v>266.0</v>
      </c>
      <c r="E221" s="7" t="s">
        <v>393</v>
      </c>
      <c r="F221" s="7" t="s">
        <v>112</v>
      </c>
      <c r="G221" s="6" t="s">
        <v>44</v>
      </c>
      <c r="H221" s="6">
        <v>29.0</v>
      </c>
      <c r="I221" s="8">
        <v>72.5</v>
      </c>
      <c r="J221" s="9">
        <v>220.0</v>
      </c>
      <c r="K221" s="8" t="s">
        <v>94</v>
      </c>
    </row>
    <row r="222">
      <c r="A222" s="11">
        <f>IF(SUMIF('Big Board (by rank)'!D:D,E222,'Big Board (by rank)'!I:I)=0,"",SUMIF('Big Board (by rank)'!D:D,E222,'Big Board (by rank)'!I:I))</f>
        <v>221</v>
      </c>
      <c r="B222" s="6">
        <v>128.0</v>
      </c>
      <c r="C222" s="6">
        <v>158.0</v>
      </c>
      <c r="D222" s="6">
        <v>127.0</v>
      </c>
      <c r="E222" s="7" t="s">
        <v>239</v>
      </c>
      <c r="F222" s="7" t="s">
        <v>128</v>
      </c>
      <c r="G222" s="6" t="s">
        <v>63</v>
      </c>
      <c r="H222" s="6">
        <v>9.0</v>
      </c>
      <c r="I222" s="8">
        <v>101.4</v>
      </c>
      <c r="J222" s="9">
        <v>221.0</v>
      </c>
      <c r="K222" s="8" t="s">
        <v>105</v>
      </c>
    </row>
    <row r="223">
      <c r="A223" s="11">
        <f>IF(SUMIF('Big Board (by rank)'!D:D,E223,'Big Board (by rank)'!I:I)=0,"",SUMIF('Big Board (by rank)'!D:D,E223,'Big Board (by rank)'!I:I))</f>
        <v>222</v>
      </c>
      <c r="B223" s="6">
        <v>378.0</v>
      </c>
      <c r="C223" s="6">
        <v>389.0</v>
      </c>
      <c r="D223" s="6">
        <v>381.0</v>
      </c>
      <c r="E223" s="7" t="s">
        <v>457</v>
      </c>
      <c r="F223" s="7" t="s">
        <v>57</v>
      </c>
      <c r="G223" s="6" t="s">
        <v>85</v>
      </c>
      <c r="H223" s="6">
        <v>10.0</v>
      </c>
      <c r="I223" s="8">
        <v>68.0</v>
      </c>
      <c r="J223" s="9">
        <v>222.0</v>
      </c>
      <c r="K223" s="8" t="s">
        <v>96</v>
      </c>
    </row>
    <row r="224">
      <c r="A224" s="11">
        <f>IF(SUMIF('Big Board (by rank)'!D:D,E224,'Big Board (by rank)'!I:I)=0,"",SUMIF('Big Board (by rank)'!D:D,E224,'Big Board (by rank)'!I:I))</f>
        <v>223</v>
      </c>
      <c r="B224" s="6">
        <v>382.0</v>
      </c>
      <c r="C224" s="6">
        <v>429.0</v>
      </c>
      <c r="D224" s="6">
        <v>371.0</v>
      </c>
      <c r="E224" s="7" t="s">
        <v>458</v>
      </c>
      <c r="F224" s="7" t="s">
        <v>459</v>
      </c>
      <c r="G224" s="6" t="s">
        <v>15</v>
      </c>
      <c r="H224" s="6">
        <v>20.0</v>
      </c>
      <c r="I224" s="8">
        <v>64.4</v>
      </c>
      <c r="J224" s="9">
        <v>223.0</v>
      </c>
      <c r="K224" s="8" t="s">
        <v>29</v>
      </c>
    </row>
    <row r="225">
      <c r="A225" s="11">
        <f>IF(SUMIF('Big Board (by rank)'!D:D,E225,'Big Board (by rank)'!I:I)=0,"",SUMIF('Big Board (by rank)'!D:D,E225,'Big Board (by rank)'!I:I))</f>
        <v>224</v>
      </c>
      <c r="B225" s="6">
        <v>210.0</v>
      </c>
      <c r="C225" s="6">
        <v>146.0</v>
      </c>
      <c r="D225" s="6">
        <v>219.0</v>
      </c>
      <c r="E225" s="7" t="s">
        <v>336</v>
      </c>
      <c r="F225" s="7" t="s">
        <v>124</v>
      </c>
      <c r="G225" s="6" t="s">
        <v>26</v>
      </c>
      <c r="H225" s="6">
        <v>16.0</v>
      </c>
      <c r="I225" s="8">
        <v>91.0</v>
      </c>
      <c r="J225" s="9">
        <v>224.0</v>
      </c>
      <c r="K225" s="8" t="s">
        <v>99</v>
      </c>
    </row>
    <row r="226">
      <c r="A226" s="11">
        <f>IF(SUMIF('Big Board (by rank)'!D:D,E226,'Big Board (by rank)'!I:I)=0,"",SUMIF('Big Board (by rank)'!D:D,E226,'Big Board (by rank)'!I:I))</f>
        <v>225</v>
      </c>
      <c r="B226" s="6">
        <v>273.0</v>
      </c>
      <c r="C226" s="6">
        <v>284.0</v>
      </c>
      <c r="D226" s="6">
        <v>269.0</v>
      </c>
      <c r="E226" s="7" t="s">
        <v>405</v>
      </c>
      <c r="F226" s="7" t="s">
        <v>124</v>
      </c>
      <c r="G226" s="6" t="s">
        <v>63</v>
      </c>
      <c r="H226" s="6">
        <v>22.0</v>
      </c>
      <c r="I226" s="8">
        <v>76.1</v>
      </c>
      <c r="J226" s="9">
        <v>225.0</v>
      </c>
      <c r="K226" s="8" t="s">
        <v>41</v>
      </c>
    </row>
    <row r="227">
      <c r="A227" s="11">
        <f>IF(SUMIF('Big Board (by rank)'!D:D,E227,'Big Board (by rank)'!I:I)=0,"",SUMIF('Big Board (by rank)'!D:D,E227,'Big Board (by rank)'!I:I))</f>
        <v>226</v>
      </c>
      <c r="B227" s="6">
        <v>215.0</v>
      </c>
      <c r="C227" s="6">
        <v>293.0</v>
      </c>
      <c r="D227" s="6">
        <v>204.0</v>
      </c>
      <c r="E227" s="7" t="s">
        <v>342</v>
      </c>
      <c r="F227" s="7" t="s">
        <v>326</v>
      </c>
      <c r="G227" s="6" t="s">
        <v>234</v>
      </c>
      <c r="H227" s="6">
        <v>4.0</v>
      </c>
      <c r="I227" s="8">
        <v>90.1</v>
      </c>
      <c r="J227" s="9">
        <v>226.0</v>
      </c>
      <c r="K227" s="8" t="s">
        <v>105</v>
      </c>
    </row>
    <row r="228">
      <c r="A228" s="11">
        <f>IF(SUMIF('Big Board (by rank)'!D:D,E228,'Big Board (by rank)'!I:I)=0,"",SUMIF('Big Board (by rank)'!D:D,E228,'Big Board (by rank)'!I:I))</f>
        <v>227</v>
      </c>
      <c r="B228" s="6">
        <v>346.0</v>
      </c>
      <c r="C228" s="6">
        <v>369.0</v>
      </c>
      <c r="D228" s="6">
        <v>333.0</v>
      </c>
      <c r="E228" s="7" t="s">
        <v>445</v>
      </c>
      <c r="F228" s="7" t="s">
        <v>446</v>
      </c>
      <c r="G228" s="6" t="s">
        <v>19</v>
      </c>
      <c r="H228" s="6">
        <v>30.0</v>
      </c>
      <c r="I228" s="8">
        <v>68.0</v>
      </c>
      <c r="J228" s="9">
        <v>227.0</v>
      </c>
      <c r="K228" s="8" t="s">
        <v>68</v>
      </c>
    </row>
    <row r="229">
      <c r="A229" s="11">
        <f>IF(SUMIF('Big Board (by rank)'!D:D,E229,'Big Board (by rank)'!I:I)=0,"",SUMIF('Big Board (by rank)'!D:D,E229,'Big Board (by rank)'!I:I))</f>
        <v>228</v>
      </c>
      <c r="B229" s="6">
        <v>122.0</v>
      </c>
      <c r="C229" s="6">
        <v>144.0</v>
      </c>
      <c r="D229" s="6">
        <v>123.0</v>
      </c>
      <c r="E229" s="7" t="s">
        <v>231</v>
      </c>
      <c r="F229" s="7" t="s">
        <v>177</v>
      </c>
      <c r="G229" s="6" t="s">
        <v>26</v>
      </c>
      <c r="H229" s="6">
        <v>10.0</v>
      </c>
      <c r="I229" s="8">
        <v>106.8</v>
      </c>
      <c r="J229" s="9">
        <v>228.0</v>
      </c>
      <c r="K229" s="8" t="s">
        <v>36</v>
      </c>
    </row>
    <row r="230">
      <c r="A230" s="11">
        <f>IF(SUMIF('Big Board (by rank)'!D:D,E230,'Big Board (by rank)'!I:I)=0,"",SUMIF('Big Board (by rank)'!D:D,E230,'Big Board (by rank)'!I:I))</f>
        <v>229</v>
      </c>
      <c r="B230" s="6">
        <v>254.0</v>
      </c>
      <c r="C230" s="6">
        <v>245.0</v>
      </c>
      <c r="D230" s="6">
        <v>261.0</v>
      </c>
      <c r="E230" s="7" t="s">
        <v>384</v>
      </c>
      <c r="F230" s="7" t="s">
        <v>223</v>
      </c>
      <c r="G230" s="6" t="s">
        <v>85</v>
      </c>
      <c r="H230" s="6">
        <v>11.0</v>
      </c>
      <c r="I230" s="8">
        <v>68.0</v>
      </c>
      <c r="J230" s="9">
        <v>229.0</v>
      </c>
      <c r="K230" s="8" t="s">
        <v>16</v>
      </c>
    </row>
    <row r="231">
      <c r="A231" s="11">
        <f>IF(SUMIF('Big Board (by rank)'!D:D,E231,'Big Board (by rank)'!I:I)=0,"",SUMIF('Big Board (by rank)'!D:D,E231,'Big Board (by rank)'!I:I))</f>
        <v>230</v>
      </c>
      <c r="B231" s="6">
        <v>201.0</v>
      </c>
      <c r="C231" s="6">
        <v>230.0</v>
      </c>
      <c r="D231" s="6">
        <v>200.0</v>
      </c>
      <c r="E231" s="7" t="s">
        <v>325</v>
      </c>
      <c r="F231" s="7" t="s">
        <v>326</v>
      </c>
      <c r="G231" s="6" t="s">
        <v>23</v>
      </c>
      <c r="H231" s="6">
        <v>11.0</v>
      </c>
      <c r="I231" s="8">
        <v>93.3</v>
      </c>
      <c r="J231" s="9">
        <v>230.0</v>
      </c>
      <c r="K231" s="8" t="s">
        <v>99</v>
      </c>
    </row>
    <row r="232">
      <c r="A232" s="11">
        <f>IF(SUMIF('Big Board (by rank)'!D:D,E232,'Big Board (by rank)'!I:I)=0,"",SUMIF('Big Board (by rank)'!D:D,E232,'Big Board (by rank)'!I:I))</f>
        <v>231</v>
      </c>
      <c r="B232" s="6">
        <v>376.0</v>
      </c>
      <c r="C232" s="6">
        <v>385.0</v>
      </c>
      <c r="D232" s="6">
        <v>377.0</v>
      </c>
      <c r="E232" s="7" t="s">
        <v>456</v>
      </c>
      <c r="F232" s="7" t="s">
        <v>18</v>
      </c>
      <c r="G232" s="6" t="s">
        <v>38</v>
      </c>
      <c r="H232" s="6">
        <v>25.0</v>
      </c>
      <c r="I232" s="8">
        <v>58.5</v>
      </c>
      <c r="J232" s="9">
        <v>231.0</v>
      </c>
      <c r="K232" s="8" t="s">
        <v>76</v>
      </c>
    </row>
    <row r="233">
      <c r="A233" s="11">
        <f>IF(SUMIF('Big Board (by rank)'!D:D,E233,'Big Board (by rank)'!I:I)=0,"",SUMIF('Big Board (by rank)'!D:D,E233,'Big Board (by rank)'!I:I))</f>
        <v>232</v>
      </c>
      <c r="B233" s="6">
        <v>165.0</v>
      </c>
      <c r="C233" s="6">
        <v>188.0</v>
      </c>
      <c r="D233" s="6">
        <v>159.0</v>
      </c>
      <c r="E233" s="7" t="s">
        <v>282</v>
      </c>
      <c r="F233" s="7" t="s">
        <v>70</v>
      </c>
      <c r="G233" s="6" t="s">
        <v>91</v>
      </c>
      <c r="H233" s="6">
        <v>8.0</v>
      </c>
      <c r="I233" s="8">
        <v>93.3</v>
      </c>
      <c r="J233" s="9">
        <v>232.0</v>
      </c>
      <c r="K233" s="8" t="s">
        <v>110</v>
      </c>
    </row>
    <row r="234">
      <c r="A234" s="11">
        <f>IF(SUMIF('Big Board (by rank)'!D:D,E234,'Big Board (by rank)'!I:I)=0,"",SUMIF('Big Board (by rank)'!D:D,E234,'Big Board (by rank)'!I:I))</f>
        <v>233</v>
      </c>
      <c r="B234" s="6">
        <v>412.0</v>
      </c>
      <c r="C234" s="6">
        <v>436.0</v>
      </c>
      <c r="D234" s="6">
        <v>403.0</v>
      </c>
      <c r="E234" s="7" t="s">
        <v>462</v>
      </c>
      <c r="F234" s="7" t="s">
        <v>87</v>
      </c>
      <c r="G234" s="6" t="s">
        <v>32</v>
      </c>
      <c r="H234" s="6">
        <v>45.0</v>
      </c>
      <c r="I234" s="8">
        <v>72.5</v>
      </c>
      <c r="J234" s="9">
        <v>233.0</v>
      </c>
      <c r="K234" s="8" t="s">
        <v>115</v>
      </c>
    </row>
    <row r="235">
      <c r="A235" s="11">
        <f>IF(SUMIF('Big Board (by rank)'!D:D,E235,'Big Board (by rank)'!I:I)=0,"",SUMIF('Big Board (by rank)'!D:D,E235,'Big Board (by rank)'!I:I))</f>
        <v>234</v>
      </c>
      <c r="B235" s="6">
        <v>293.0</v>
      </c>
      <c r="C235" s="6">
        <v>268.0</v>
      </c>
      <c r="D235" s="6">
        <v>298.0</v>
      </c>
      <c r="E235" s="7" t="s">
        <v>428</v>
      </c>
      <c r="F235" s="7" t="s">
        <v>35</v>
      </c>
      <c r="G235" s="6" t="s">
        <v>15</v>
      </c>
      <c r="H235" s="6">
        <v>14.0</v>
      </c>
      <c r="I235" s="8">
        <v>61.2</v>
      </c>
      <c r="J235" s="9">
        <v>234.0</v>
      </c>
      <c r="K235" s="8" t="s">
        <v>89</v>
      </c>
    </row>
    <row r="236">
      <c r="A236" s="11">
        <f>IF(SUMIF('Big Board (by rank)'!D:D,E236,'Big Board (by rank)'!I:I)=0,"",SUMIF('Big Board (by rank)'!D:D,E236,'Big Board (by rank)'!I:I))</f>
        <v>235</v>
      </c>
      <c r="B236" s="6">
        <v>612.0</v>
      </c>
      <c r="C236" s="6">
        <v>588.0</v>
      </c>
      <c r="D236" s="6">
        <v>599.0</v>
      </c>
      <c r="E236" s="7" t="s">
        <v>467</v>
      </c>
      <c r="F236" s="7" t="s">
        <v>133</v>
      </c>
      <c r="G236" s="6" t="s">
        <v>170</v>
      </c>
      <c r="H236" s="6">
        <v>26.0</v>
      </c>
      <c r="I236" s="8">
        <v>76.6</v>
      </c>
      <c r="J236" s="9">
        <v>235.0</v>
      </c>
      <c r="K236" s="8" t="s">
        <v>108</v>
      </c>
    </row>
    <row r="237">
      <c r="A237" s="11">
        <f>IF(SUMIF('Big Board (by rank)'!D:D,E237,'Big Board (by rank)'!I:I)=0,"",SUMIF('Big Board (by rank)'!D:D,E237,'Big Board (by rank)'!I:I))</f>
        <v>236</v>
      </c>
      <c r="B237" s="6">
        <v>260.0</v>
      </c>
      <c r="C237" s="6">
        <v>281.0</v>
      </c>
      <c r="D237" s="6">
        <v>259.0</v>
      </c>
      <c r="E237" s="7" t="s">
        <v>391</v>
      </c>
      <c r="F237" s="7" t="s">
        <v>82</v>
      </c>
      <c r="G237" s="6" t="s">
        <v>44</v>
      </c>
      <c r="H237" s="6">
        <v>28.0</v>
      </c>
      <c r="I237" s="8">
        <v>71.1</v>
      </c>
      <c r="J237" s="9">
        <v>236.0</v>
      </c>
      <c r="K237" s="8" t="s">
        <v>135</v>
      </c>
    </row>
    <row r="238">
      <c r="A238" s="11">
        <f>IF(SUMIF('Big Board (by rank)'!D:D,E238,'Big Board (by rank)'!I:I)=0,"",SUMIF('Big Board (by rank)'!D:D,E238,'Big Board (by rank)'!I:I))</f>
        <v>237</v>
      </c>
      <c r="B238" s="6">
        <v>182.0</v>
      </c>
      <c r="C238" s="6">
        <v>207.0</v>
      </c>
      <c r="D238" s="6">
        <v>182.0</v>
      </c>
      <c r="E238" s="7" t="s">
        <v>302</v>
      </c>
      <c r="F238" s="7" t="s">
        <v>212</v>
      </c>
      <c r="G238" s="6" t="s">
        <v>23</v>
      </c>
      <c r="H238" s="6">
        <v>9.0</v>
      </c>
      <c r="I238" s="8">
        <v>89.7</v>
      </c>
      <c r="J238" s="9">
        <v>237.0</v>
      </c>
      <c r="K238" s="8" t="s">
        <v>103</v>
      </c>
    </row>
    <row r="239">
      <c r="A239" s="11">
        <f>IF(SUMIF('Big Board (by rank)'!D:D,E239,'Big Board (by rank)'!I:I)=0,"",SUMIF('Big Board (by rank)'!D:D,E239,'Big Board (by rank)'!I:I))</f>
        <v>238</v>
      </c>
      <c r="B239" s="6">
        <v>135.0</v>
      </c>
      <c r="C239" s="6">
        <v>151.0</v>
      </c>
      <c r="D239" s="6">
        <v>137.0</v>
      </c>
      <c r="E239" s="7" t="s">
        <v>248</v>
      </c>
      <c r="F239" s="7" t="s">
        <v>153</v>
      </c>
      <c r="G239" s="6" t="s">
        <v>32</v>
      </c>
      <c r="H239" s="6">
        <v>18.0</v>
      </c>
      <c r="I239" s="8">
        <v>81.1</v>
      </c>
      <c r="J239" s="9">
        <v>238.0</v>
      </c>
      <c r="K239" s="8" t="s">
        <v>71</v>
      </c>
    </row>
    <row r="240">
      <c r="A240" s="11">
        <f>IF(SUMIF('Big Board (by rank)'!D:D,E240,'Big Board (by rank)'!I:I)=0,"",SUMIF('Big Board (by rank)'!D:D,E240,'Big Board (by rank)'!I:I))</f>
        <v>239</v>
      </c>
      <c r="B240" s="6">
        <v>401.0</v>
      </c>
      <c r="C240" s="6">
        <v>376.0</v>
      </c>
      <c r="D240" s="6">
        <v>440.0</v>
      </c>
      <c r="E240" s="7" t="s">
        <v>461</v>
      </c>
      <c r="F240" s="7" t="s">
        <v>107</v>
      </c>
      <c r="G240" s="6" t="s">
        <v>454</v>
      </c>
      <c r="H240" s="6">
        <v>3.0</v>
      </c>
      <c r="I240" s="8">
        <v>65.7</v>
      </c>
      <c r="J240" s="9">
        <v>239.0</v>
      </c>
      <c r="K240" s="8" t="s">
        <v>94</v>
      </c>
    </row>
    <row r="241">
      <c r="A241" s="11">
        <f>IF(SUMIF('Big Board (by rank)'!D:D,E241,'Big Board (by rank)'!I:I)=0,"",SUMIF('Big Board (by rank)'!D:D,E241,'Big Board (by rank)'!I:I))</f>
        <v>240</v>
      </c>
      <c r="B241" s="6">
        <v>679.0</v>
      </c>
      <c r="C241" s="6">
        <v>661.0</v>
      </c>
      <c r="D241" s="6">
        <v>676.0</v>
      </c>
      <c r="E241" s="7" t="s">
        <v>470</v>
      </c>
      <c r="F241" s="7" t="s">
        <v>471</v>
      </c>
      <c r="G241" s="6" t="s">
        <v>19</v>
      </c>
      <c r="H241" s="6">
        <v>55.0</v>
      </c>
      <c r="I241" s="8">
        <v>69.8</v>
      </c>
      <c r="J241" s="9">
        <v>240.0</v>
      </c>
      <c r="K241" s="8" t="s">
        <v>115</v>
      </c>
    </row>
    <row r="242">
      <c r="A242" s="11">
        <f>IF(SUMIF('Big Board (by rank)'!D:D,E242,'Big Board (by rank)'!I:I)=0,"",SUMIF('Big Board (by rank)'!D:D,E242,'Big Board (by rank)'!I:I))</f>
        <v>241</v>
      </c>
      <c r="B242" s="6">
        <v>193.0</v>
      </c>
      <c r="C242" s="6">
        <v>170.0</v>
      </c>
      <c r="D242" s="6">
        <v>198.0</v>
      </c>
      <c r="E242" s="7" t="s">
        <v>316</v>
      </c>
      <c r="F242" s="7" t="s">
        <v>80</v>
      </c>
      <c r="G242" s="6" t="s">
        <v>54</v>
      </c>
      <c r="H242" s="6">
        <v>13.0</v>
      </c>
      <c r="I242" s="8">
        <v>83.8</v>
      </c>
      <c r="J242" s="9">
        <v>241.0</v>
      </c>
      <c r="K242" s="8" t="s">
        <v>94</v>
      </c>
    </row>
    <row r="243">
      <c r="A243" s="11">
        <f>IF(SUMIF('Big Board (by rank)'!D:D,E243,'Big Board (by rank)'!I:I)=0,"",SUMIF('Big Board (by rank)'!D:D,E243,'Big Board (by rank)'!I:I))</f>
        <v>242</v>
      </c>
      <c r="B243" s="6">
        <v>266.0</v>
      </c>
      <c r="C243" s="6">
        <v>273.0</v>
      </c>
      <c r="D243" s="6">
        <v>270.0</v>
      </c>
      <c r="E243" s="7" t="s">
        <v>397</v>
      </c>
      <c r="F243" s="7" t="s">
        <v>398</v>
      </c>
      <c r="G243" s="6" t="s">
        <v>91</v>
      </c>
      <c r="H243" s="6">
        <v>10.0</v>
      </c>
      <c r="I243" s="8">
        <v>69.3</v>
      </c>
      <c r="J243" s="9">
        <v>242.0</v>
      </c>
      <c r="K243" s="8" t="s">
        <v>135</v>
      </c>
    </row>
    <row r="244">
      <c r="A244" s="11">
        <f>IF(SUMIF('Big Board (by rank)'!D:D,E244,'Big Board (by rank)'!I:I)=0,"",SUMIF('Big Board (by rank)'!D:D,E244,'Big Board (by rank)'!I:I))</f>
        <v>243</v>
      </c>
      <c r="B244" s="6">
        <v>149.0</v>
      </c>
      <c r="C244" s="6">
        <v>165.0</v>
      </c>
      <c r="D244" s="6">
        <v>157.0</v>
      </c>
      <c r="E244" s="7" t="s">
        <v>264</v>
      </c>
      <c r="F244" s="7" t="s">
        <v>14</v>
      </c>
      <c r="G244" s="6" t="s">
        <v>19</v>
      </c>
      <c r="H244" s="6">
        <v>14.0</v>
      </c>
      <c r="I244" s="8">
        <v>90.6</v>
      </c>
      <c r="J244" s="9">
        <v>243.0</v>
      </c>
      <c r="K244" s="8" t="s">
        <v>92</v>
      </c>
    </row>
    <row r="245">
      <c r="A245" s="11">
        <f>IF(SUMIF('Big Board (by rank)'!D:D,E245,'Big Board (by rank)'!I:I)=0,"",SUMIF('Big Board (by rank)'!D:D,E245,'Big Board (by rank)'!I:I))</f>
        <v>244</v>
      </c>
      <c r="B245" s="6">
        <v>228.0</v>
      </c>
      <c r="C245" s="6">
        <v>262.0</v>
      </c>
      <c r="D245" s="6">
        <v>226.0</v>
      </c>
      <c r="E245" s="7" t="s">
        <v>356</v>
      </c>
      <c r="F245" s="7" t="s">
        <v>35</v>
      </c>
      <c r="G245" s="6" t="s">
        <v>26</v>
      </c>
      <c r="H245" s="6">
        <v>18.0</v>
      </c>
      <c r="I245" s="8">
        <v>85.2</v>
      </c>
      <c r="J245" s="9">
        <v>244.0</v>
      </c>
      <c r="K245" s="8" t="s">
        <v>51</v>
      </c>
    </row>
    <row r="246">
      <c r="A246" s="11">
        <f>IF(SUMIF('Big Board (by rank)'!D:D,E246,'Big Board (by rank)'!I:I)=0,"",SUMIF('Big Board (by rank)'!D:D,E246,'Big Board (by rank)'!I:I))</f>
        <v>245</v>
      </c>
      <c r="B246" s="6">
        <v>248.0</v>
      </c>
      <c r="C246" s="6">
        <v>218.0</v>
      </c>
      <c r="D246" s="6">
        <v>258.0</v>
      </c>
      <c r="E246" s="7" t="s">
        <v>377</v>
      </c>
      <c r="F246" s="7" t="s">
        <v>70</v>
      </c>
      <c r="G246" s="6" t="s">
        <v>23</v>
      </c>
      <c r="H246" s="6">
        <v>17.0</v>
      </c>
      <c r="I246" s="8">
        <v>74.3</v>
      </c>
      <c r="J246" s="9">
        <v>245.0</v>
      </c>
      <c r="K246" s="8" t="s">
        <v>89</v>
      </c>
    </row>
    <row r="247">
      <c r="A247" s="11">
        <f>IF(SUMIF('Big Board (by rank)'!D:D,E247,'Big Board (by rank)'!I:I)=0,"",SUMIF('Big Board (by rank)'!D:D,E247,'Big Board (by rank)'!I:I))</f>
        <v>246</v>
      </c>
      <c r="B247" s="6">
        <v>361.0</v>
      </c>
      <c r="C247" s="6">
        <v>472.0</v>
      </c>
      <c r="D247" s="6">
        <v>347.0</v>
      </c>
      <c r="E247" s="7" t="s">
        <v>455</v>
      </c>
      <c r="F247" s="7" t="s">
        <v>130</v>
      </c>
      <c r="G247" s="6" t="s">
        <v>26</v>
      </c>
      <c r="H247" s="6">
        <v>27.0</v>
      </c>
      <c r="I247" s="8">
        <v>80.2</v>
      </c>
      <c r="J247" s="9">
        <v>246.0</v>
      </c>
      <c r="K247" s="8" t="s">
        <v>195</v>
      </c>
    </row>
    <row r="248">
      <c r="A248" s="11">
        <f>IF(SUMIF('Big Board (by rank)'!D:D,E248,'Big Board (by rank)'!I:I)=0,"",SUMIF('Big Board (by rank)'!D:D,E248,'Big Board (by rank)'!I:I))</f>
        <v>247</v>
      </c>
      <c r="B248" s="6">
        <v>250.0</v>
      </c>
      <c r="C248" s="6">
        <v>261.0</v>
      </c>
      <c r="D248" s="6">
        <v>246.0</v>
      </c>
      <c r="E248" s="7" t="s">
        <v>379</v>
      </c>
      <c r="F248" s="7" t="s">
        <v>245</v>
      </c>
      <c r="G248" s="6" t="s">
        <v>32</v>
      </c>
      <c r="H248" s="6">
        <v>29.0</v>
      </c>
      <c r="I248" s="8">
        <v>71.6</v>
      </c>
      <c r="J248" s="9">
        <v>247.0</v>
      </c>
      <c r="K248" s="8" t="s">
        <v>89</v>
      </c>
    </row>
    <row r="249">
      <c r="A249" s="11">
        <f>IF(SUMIF('Big Board (by rank)'!D:D,E249,'Big Board (by rank)'!I:I)=0,"",SUMIF('Big Board (by rank)'!D:D,E249,'Big Board (by rank)'!I:I))</f>
        <v>248</v>
      </c>
      <c r="B249" s="6">
        <v>283.0</v>
      </c>
      <c r="C249" s="6">
        <v>325.0</v>
      </c>
      <c r="D249" s="6">
        <v>274.0</v>
      </c>
      <c r="E249" s="7" t="s">
        <v>416</v>
      </c>
      <c r="F249" s="7" t="s">
        <v>312</v>
      </c>
      <c r="G249" s="6" t="s">
        <v>63</v>
      </c>
      <c r="H249" s="6">
        <v>23.0</v>
      </c>
      <c r="I249" s="8">
        <v>131.7</v>
      </c>
      <c r="J249" s="9">
        <v>248.0</v>
      </c>
      <c r="K249" s="8" t="s">
        <v>48</v>
      </c>
    </row>
    <row r="250">
      <c r="A250" s="11">
        <f>IF(SUMIF('Big Board (by rank)'!D:D,E250,'Big Board (by rank)'!I:I)=0,"",SUMIF('Big Board (by rank)'!D:D,E250,'Big Board (by rank)'!I:I))</f>
        <v>249</v>
      </c>
      <c r="B250" s="6">
        <v>82.0</v>
      </c>
      <c r="C250" s="6">
        <v>83.0</v>
      </c>
      <c r="D250" s="6">
        <v>82.0</v>
      </c>
      <c r="E250" s="7" t="s">
        <v>179</v>
      </c>
      <c r="F250" s="7" t="s">
        <v>43</v>
      </c>
      <c r="G250" s="6" t="s">
        <v>15</v>
      </c>
      <c r="H250" s="6">
        <v>3.0</v>
      </c>
      <c r="I250" s="8">
        <v>93.8</v>
      </c>
      <c r="J250" s="9">
        <v>249.0</v>
      </c>
      <c r="K250" s="8" t="s">
        <v>45</v>
      </c>
    </row>
    <row r="251">
      <c r="A251" s="11">
        <f>IF(SUMIF('Big Board (by rank)'!D:D,E251,'Big Board (by rank)'!I:I)=0,"",SUMIF('Big Board (by rank)'!D:D,E251,'Big Board (by rank)'!I:I))</f>
        <v>250</v>
      </c>
      <c r="B251" s="6">
        <v>137.0</v>
      </c>
      <c r="C251" s="6">
        <v>123.0</v>
      </c>
      <c r="D251" s="6">
        <v>140.0</v>
      </c>
      <c r="E251" s="7" t="s">
        <v>251</v>
      </c>
      <c r="F251" s="7" t="s">
        <v>150</v>
      </c>
      <c r="G251" s="6" t="s">
        <v>85</v>
      </c>
      <c r="H251" s="6">
        <v>5.0</v>
      </c>
      <c r="I251" s="8">
        <v>96.9</v>
      </c>
      <c r="J251" s="9">
        <v>250.0</v>
      </c>
      <c r="K251" s="8" t="s">
        <v>55</v>
      </c>
    </row>
    <row r="252">
      <c r="A252" s="11">
        <f>IF(SUMIF('Big Board (by rank)'!D:D,E252,'Big Board (by rank)'!I:I)=0,"",SUMIF('Big Board (by rank)'!D:D,E252,'Big Board (by rank)'!I:I))</f>
        <v>251</v>
      </c>
      <c r="B252" s="6">
        <v>358.0</v>
      </c>
      <c r="C252" s="6">
        <v>383.0</v>
      </c>
      <c r="D252" s="6">
        <v>357.0</v>
      </c>
      <c r="E252" s="7" t="s">
        <v>451</v>
      </c>
      <c r="F252" s="7" t="s">
        <v>452</v>
      </c>
      <c r="G252" s="6" t="s">
        <v>85</v>
      </c>
      <c r="H252" s="6">
        <v>14.0</v>
      </c>
      <c r="I252" s="8">
        <v>96.4</v>
      </c>
      <c r="J252" s="9">
        <v>251.0</v>
      </c>
      <c r="K252" s="8" t="s">
        <v>51</v>
      </c>
    </row>
    <row r="253">
      <c r="A253" s="11">
        <f>IF(SUMIF('Big Board (by rank)'!D:D,E253,'Big Board (by rank)'!I:I)=0,"",SUMIF('Big Board (by rank)'!D:D,E253,'Big Board (by rank)'!I:I))</f>
        <v>252</v>
      </c>
      <c r="B253" s="6">
        <v>303.0</v>
      </c>
      <c r="C253" s="6">
        <v>275.0</v>
      </c>
      <c r="D253" s="6">
        <v>314.0</v>
      </c>
      <c r="E253" s="7" t="s">
        <v>437</v>
      </c>
      <c r="F253" s="7" t="s">
        <v>438</v>
      </c>
      <c r="G253" s="6" t="s">
        <v>32</v>
      </c>
      <c r="H253" s="6">
        <v>34.0</v>
      </c>
      <c r="I253" s="8">
        <v>81.1</v>
      </c>
      <c r="J253" s="9">
        <v>252.0</v>
      </c>
      <c r="K253" s="8" t="s">
        <v>51</v>
      </c>
    </row>
    <row r="254">
      <c r="A254" s="11">
        <f>IF(SUMIF('Big Board (by rank)'!D:D,E254,'Big Board (by rank)'!I:I)=0,"",SUMIF('Big Board (by rank)'!D:D,E254,'Big Board (by rank)'!I:I))</f>
        <v>253</v>
      </c>
      <c r="B254" s="6">
        <v>315.0</v>
      </c>
      <c r="C254" s="6">
        <v>274.0</v>
      </c>
      <c r="D254" s="6">
        <v>326.0</v>
      </c>
      <c r="E254" s="7" t="s">
        <v>440</v>
      </c>
      <c r="F254" s="7" t="s">
        <v>156</v>
      </c>
      <c r="G254" s="6" t="s">
        <v>54</v>
      </c>
      <c r="H254" s="6">
        <v>24.0</v>
      </c>
      <c r="I254" s="8">
        <v>72.5</v>
      </c>
      <c r="J254" s="9">
        <v>253.0</v>
      </c>
      <c r="K254" s="8" t="s">
        <v>55</v>
      </c>
    </row>
    <row r="255">
      <c r="A255" s="11">
        <f>IF(SUMIF('Big Board (by rank)'!D:D,E255,'Big Board (by rank)'!I:I)=0,"",SUMIF('Big Board (by rank)'!D:D,E255,'Big Board (by rank)'!I:I))</f>
        <v>254</v>
      </c>
      <c r="B255" s="6">
        <v>96.0</v>
      </c>
      <c r="C255" s="6">
        <v>87.0</v>
      </c>
      <c r="D255" s="6">
        <v>96.0</v>
      </c>
      <c r="E255" s="7" t="s">
        <v>197</v>
      </c>
      <c r="F255" s="7" t="s">
        <v>124</v>
      </c>
      <c r="G255" s="6" t="s">
        <v>40</v>
      </c>
      <c r="H255" s="6">
        <v>17.0</v>
      </c>
      <c r="I255" s="8">
        <v>88.8</v>
      </c>
      <c r="J255" s="9">
        <v>254.0</v>
      </c>
      <c r="K255" s="8" t="s">
        <v>103</v>
      </c>
    </row>
    <row r="256">
      <c r="A256" s="11">
        <f>IF(SUMIF('Big Board (by rank)'!D:D,E256,'Big Board (by rank)'!I:I)=0,"",SUMIF('Big Board (by rank)'!D:D,E256,'Big Board (by rank)'!I:I))</f>
        <v>255</v>
      </c>
      <c r="B256" s="6">
        <v>733.0</v>
      </c>
      <c r="C256" s="6">
        <v>767.0</v>
      </c>
      <c r="D256" s="6">
        <v>707.0</v>
      </c>
      <c r="E256" s="7" t="s">
        <v>472</v>
      </c>
      <c r="F256" s="7" t="s">
        <v>146</v>
      </c>
      <c r="G256" s="6" t="s">
        <v>44</v>
      </c>
      <c r="H256" s="6">
        <v>76.0</v>
      </c>
      <c r="I256" s="8">
        <v>99.1</v>
      </c>
      <c r="J256" s="9">
        <v>255.0</v>
      </c>
      <c r="K256" s="8" t="s">
        <v>135</v>
      </c>
    </row>
    <row r="257">
      <c r="A257" s="11">
        <f>IF(SUMIF('Big Board (by rank)'!D:D,E257,'Big Board (by rank)'!I:I)=0,"",SUMIF('Big Board (by rank)'!D:D,E257,'Big Board (by rank)'!I:I))</f>
        <v>256</v>
      </c>
      <c r="B257" s="6">
        <v>173.0</v>
      </c>
      <c r="C257" s="6">
        <v>200.0</v>
      </c>
      <c r="D257" s="6">
        <v>164.0</v>
      </c>
      <c r="E257" s="7" t="s">
        <v>292</v>
      </c>
      <c r="F257" s="7" t="s">
        <v>47</v>
      </c>
      <c r="G257" s="6" t="s">
        <v>63</v>
      </c>
      <c r="H257" s="6">
        <v>14.0</v>
      </c>
      <c r="I257" s="8">
        <v>79.7</v>
      </c>
      <c r="J257" s="9">
        <v>256.0</v>
      </c>
      <c r="K257" s="8" t="s">
        <v>195</v>
      </c>
    </row>
    <row r="258">
      <c r="A258" s="11">
        <f>IF(SUMIF('Big Board (by rank)'!D:D,E258,'Big Board (by rank)'!I:I)=0,"",SUMIF('Big Board (by rank)'!D:D,E258,'Big Board (by rank)'!I:I))</f>
        <v>257</v>
      </c>
      <c r="B258" s="6">
        <v>197.0</v>
      </c>
      <c r="C258" s="6">
        <v>229.0</v>
      </c>
      <c r="D258" s="6">
        <v>190.0</v>
      </c>
      <c r="E258" s="7" t="s">
        <v>320</v>
      </c>
      <c r="F258" s="7" t="s">
        <v>321</v>
      </c>
      <c r="G258" s="6" t="s">
        <v>19</v>
      </c>
      <c r="H258" s="6">
        <v>18.0</v>
      </c>
      <c r="I258" s="8">
        <v>91.9</v>
      </c>
      <c r="J258" s="9">
        <v>257.0</v>
      </c>
      <c r="K258" s="8" t="s">
        <v>195</v>
      </c>
    </row>
    <row r="259">
      <c r="A259" s="11" t="str">
        <f>IF(SUMIF('Big Board (by rank)'!D:D,E259,'Big Board (by rank)'!I:I)=0,"",SUMIF('Big Board (by rank)'!D:D,E259,'Big Board (by rank)'!I:I))</f>
        <v/>
      </c>
      <c r="B259" s="6">
        <v>117.0</v>
      </c>
      <c r="C259" s="6">
        <v>137.0</v>
      </c>
      <c r="D259" s="6">
        <v>115.0</v>
      </c>
      <c r="E259" s="7" t="s">
        <v>225</v>
      </c>
      <c r="F259" s="7" t="s">
        <v>70</v>
      </c>
      <c r="G259" s="6" t="s">
        <v>19</v>
      </c>
      <c r="H259" s="6">
        <v>9.0</v>
      </c>
      <c r="I259" s="8">
        <v>116.8</v>
      </c>
      <c r="J259" s="9"/>
      <c r="K259" s="8"/>
    </row>
    <row r="260">
      <c r="A260" s="11" t="str">
        <f>IF(SUMIF('Big Board (by rank)'!D:D,E260,'Big Board (by rank)'!I:I)=0,"",SUMIF('Big Board (by rank)'!D:D,E260,'Big Board (by rank)'!I:I))</f>
        <v/>
      </c>
      <c r="B260" s="6">
        <v>118.0</v>
      </c>
      <c r="C260" s="6">
        <v>118.0</v>
      </c>
      <c r="D260" s="6">
        <v>116.0</v>
      </c>
      <c r="E260" s="7" t="s">
        <v>226</v>
      </c>
      <c r="F260" s="7" t="s">
        <v>227</v>
      </c>
      <c r="G260" s="6" t="s">
        <v>63</v>
      </c>
      <c r="H260" s="6">
        <v>7.0</v>
      </c>
      <c r="I260" s="8">
        <v>101.0</v>
      </c>
      <c r="J260" s="9"/>
      <c r="K260" s="8"/>
    </row>
    <row r="261">
      <c r="A261" s="11" t="str">
        <f>IF(SUMIF('Big Board (by rank)'!D:D,E261,'Big Board (by rank)'!I:I)=0,"",SUMIF('Big Board (by rank)'!D:D,E261,'Big Board (by rank)'!I:I))</f>
        <v/>
      </c>
      <c r="B261" s="6">
        <v>142.0</v>
      </c>
      <c r="C261" s="6">
        <v>163.0</v>
      </c>
      <c r="D261" s="6">
        <v>133.0</v>
      </c>
      <c r="E261" s="7" t="s">
        <v>256</v>
      </c>
      <c r="F261" s="7" t="s">
        <v>133</v>
      </c>
      <c r="G261" s="6" t="s">
        <v>91</v>
      </c>
      <c r="H261" s="6">
        <v>6.0</v>
      </c>
      <c r="I261" s="8">
        <v>109.1</v>
      </c>
      <c r="J261" s="9"/>
      <c r="K261" s="8"/>
    </row>
    <row r="262">
      <c r="A262" s="11" t="str">
        <f>IF(SUMIF('Big Board (by rank)'!D:D,E262,'Big Board (by rank)'!I:I)=0,"",SUMIF('Big Board (by rank)'!D:D,E262,'Big Board (by rank)'!I:I))</f>
        <v/>
      </c>
      <c r="B262" s="6">
        <v>155.0</v>
      </c>
      <c r="C262" s="6">
        <v>138.0</v>
      </c>
      <c r="D262" s="6">
        <v>156.0</v>
      </c>
      <c r="E262" s="7" t="s">
        <v>272</v>
      </c>
      <c r="F262" s="7" t="s">
        <v>202</v>
      </c>
      <c r="G262" s="6" t="s">
        <v>91</v>
      </c>
      <c r="H262" s="6">
        <v>7.0</v>
      </c>
      <c r="I262" s="8">
        <v>99.6</v>
      </c>
      <c r="J262" s="9"/>
      <c r="K262" s="8"/>
    </row>
    <row r="263">
      <c r="A263" s="11" t="str">
        <f>IF(SUMIF('Big Board (by rank)'!D:D,E263,'Big Board (by rank)'!I:I)=0,"",SUMIF('Big Board (by rank)'!D:D,E263,'Big Board (by rank)'!I:I))</f>
        <v/>
      </c>
      <c r="B263" s="6">
        <v>157.0</v>
      </c>
      <c r="C263" s="6">
        <v>157.0</v>
      </c>
      <c r="D263" s="6">
        <v>158.0</v>
      </c>
      <c r="E263" s="7" t="s">
        <v>274</v>
      </c>
      <c r="F263" s="7" t="s">
        <v>62</v>
      </c>
      <c r="G263" s="6" t="s">
        <v>38</v>
      </c>
      <c r="H263" s="6">
        <v>16.0</v>
      </c>
      <c r="I263" s="8">
        <v>105.0</v>
      </c>
      <c r="J263" s="9"/>
      <c r="K263" s="8"/>
    </row>
    <row r="264">
      <c r="A264" s="11" t="str">
        <f>IF(SUMIF('Big Board (by rank)'!D:D,E264,'Big Board (by rank)'!I:I)=0,"",SUMIF('Big Board (by rank)'!D:D,E264,'Big Board (by rank)'!I:I))</f>
        <v/>
      </c>
      <c r="B264" s="6">
        <v>160.0</v>
      </c>
      <c r="C264" s="6">
        <v>208.0</v>
      </c>
      <c r="D264" s="6">
        <v>143.0</v>
      </c>
      <c r="E264" s="7" t="s">
        <v>277</v>
      </c>
      <c r="F264" s="7" t="s">
        <v>50</v>
      </c>
      <c r="G264" s="6" t="s">
        <v>32</v>
      </c>
      <c r="H264" s="6">
        <v>19.0</v>
      </c>
      <c r="I264" s="8">
        <v>107.3</v>
      </c>
      <c r="J264" s="9"/>
      <c r="K264" s="8"/>
    </row>
    <row r="265">
      <c r="A265" s="11" t="str">
        <f>IF(SUMIF('Big Board (by rank)'!D:D,E265,'Big Board (by rank)'!I:I)=0,"",SUMIF('Big Board (by rank)'!D:D,E265,'Big Board (by rank)'!I:I))</f>
        <v/>
      </c>
      <c r="B265" s="6">
        <v>162.0</v>
      </c>
      <c r="C265" s="6">
        <v>180.0</v>
      </c>
      <c r="D265" s="6">
        <v>144.0</v>
      </c>
      <c r="E265" s="7" t="s">
        <v>279</v>
      </c>
      <c r="F265" s="7" t="s">
        <v>80</v>
      </c>
      <c r="G265" s="6" t="s">
        <v>19</v>
      </c>
      <c r="H265" s="6">
        <v>15.0</v>
      </c>
      <c r="I265" s="8">
        <v>102.3</v>
      </c>
      <c r="J265" s="9"/>
      <c r="K265" s="8"/>
    </row>
    <row r="266">
      <c r="A266" s="11" t="str">
        <f>IF(SUMIF('Big Board (by rank)'!D:D,E266,'Big Board (by rank)'!I:I)=0,"",SUMIF('Big Board (by rank)'!D:D,E266,'Big Board (by rank)'!I:I))</f>
        <v/>
      </c>
      <c r="B266" s="6">
        <v>175.0</v>
      </c>
      <c r="C266" s="6">
        <v>190.0</v>
      </c>
      <c r="D266" s="6">
        <v>176.0</v>
      </c>
      <c r="E266" s="7" t="s">
        <v>294</v>
      </c>
      <c r="F266" s="7" t="s">
        <v>202</v>
      </c>
      <c r="G266" s="6" t="s">
        <v>38</v>
      </c>
      <c r="H266" s="6">
        <v>17.0</v>
      </c>
      <c r="I266" s="8">
        <v>103.7</v>
      </c>
      <c r="J266" s="9"/>
      <c r="K266" s="8"/>
    </row>
    <row r="267">
      <c r="A267" s="11" t="str">
        <f>IF(SUMIF('Big Board (by rank)'!D:D,E267,'Big Board (by rank)'!I:I)=0,"",SUMIF('Big Board (by rank)'!D:D,E267,'Big Board (by rank)'!I:I))</f>
        <v/>
      </c>
      <c r="B267" s="6">
        <v>179.0</v>
      </c>
      <c r="C267" s="6">
        <v>193.0</v>
      </c>
      <c r="D267" s="6">
        <v>174.0</v>
      </c>
      <c r="E267" s="7" t="s">
        <v>298</v>
      </c>
      <c r="F267" s="7" t="s">
        <v>299</v>
      </c>
      <c r="G267" s="6" t="s">
        <v>32</v>
      </c>
      <c r="H267" s="6">
        <v>21.0</v>
      </c>
      <c r="I267" s="8">
        <v>91.5</v>
      </c>
      <c r="J267" s="9"/>
      <c r="K267" s="8"/>
    </row>
    <row r="268">
      <c r="A268" s="11" t="str">
        <f>IF(SUMIF('Big Board (by rank)'!D:D,E268,'Big Board (by rank)'!I:I)=0,"",SUMIF('Big Board (by rank)'!D:D,E268,'Big Board (by rank)'!I:I))</f>
        <v/>
      </c>
      <c r="B268" s="6">
        <v>181.0</v>
      </c>
      <c r="C268" s="6">
        <v>197.0</v>
      </c>
      <c r="D268" s="6">
        <v>183.0</v>
      </c>
      <c r="E268" s="7" t="s">
        <v>301</v>
      </c>
      <c r="F268" s="7" t="s">
        <v>50</v>
      </c>
      <c r="G268" s="6" t="s">
        <v>26</v>
      </c>
      <c r="H268" s="6">
        <v>13.0</v>
      </c>
      <c r="I268" s="8">
        <v>80.2</v>
      </c>
      <c r="J268" s="9"/>
      <c r="K268" s="8"/>
    </row>
    <row r="269">
      <c r="A269" s="11" t="str">
        <f>IF(SUMIF('Big Board (by rank)'!D:D,E269,'Big Board (by rank)'!I:I)=0,"",SUMIF('Big Board (by rank)'!D:D,E269,'Big Board (by rank)'!I:I))</f>
        <v/>
      </c>
      <c r="B269" s="6">
        <v>183.0</v>
      </c>
      <c r="C269" s="6">
        <v>209.0</v>
      </c>
      <c r="D269" s="6">
        <v>187.0</v>
      </c>
      <c r="E269" s="7" t="s">
        <v>303</v>
      </c>
      <c r="F269" s="7" t="s">
        <v>202</v>
      </c>
      <c r="G269" s="6" t="s">
        <v>63</v>
      </c>
      <c r="H269" s="6">
        <v>15.0</v>
      </c>
      <c r="I269" s="8">
        <v>82.9</v>
      </c>
      <c r="J269" s="9"/>
      <c r="K269" s="8"/>
    </row>
    <row r="270">
      <c r="A270" s="11" t="str">
        <f>IF(SUMIF('Big Board (by rank)'!D:D,E270,'Big Board (by rank)'!I:I)=0,"",SUMIF('Big Board (by rank)'!D:D,E270,'Big Board (by rank)'!I:I))</f>
        <v/>
      </c>
      <c r="B270" s="6">
        <v>185.0</v>
      </c>
      <c r="C270" s="6">
        <v>173.0</v>
      </c>
      <c r="D270" s="6">
        <v>192.0</v>
      </c>
      <c r="E270" s="7" t="s">
        <v>305</v>
      </c>
      <c r="F270" s="7" t="s">
        <v>133</v>
      </c>
      <c r="G270" s="6" t="s">
        <v>40</v>
      </c>
      <c r="H270" s="6">
        <v>25.0</v>
      </c>
      <c r="I270" s="8">
        <v>85.2</v>
      </c>
      <c r="J270" s="9"/>
      <c r="K270" s="8"/>
    </row>
    <row r="271">
      <c r="A271" s="11" t="str">
        <f>IF(SUMIF('Big Board (by rank)'!D:D,E271,'Big Board (by rank)'!I:I)=0,"",SUMIF('Big Board (by rank)'!D:D,E271,'Big Board (by rank)'!I:I))</f>
        <v/>
      </c>
      <c r="B271" s="6">
        <v>186.0</v>
      </c>
      <c r="C271" s="6">
        <v>216.0</v>
      </c>
      <c r="D271" s="6">
        <v>172.0</v>
      </c>
      <c r="E271" s="7" t="s">
        <v>306</v>
      </c>
      <c r="F271" s="7" t="s">
        <v>175</v>
      </c>
      <c r="G271" s="6" t="s">
        <v>40</v>
      </c>
      <c r="H271" s="6">
        <v>26.0</v>
      </c>
      <c r="I271" s="8">
        <v>105.5</v>
      </c>
      <c r="J271" s="9"/>
      <c r="K271" s="8"/>
    </row>
    <row r="272">
      <c r="A272" s="11" t="str">
        <f>IF(SUMIF('Big Board (by rank)'!D:D,E272,'Big Board (by rank)'!I:I)=0,"",SUMIF('Big Board (by rank)'!D:D,E272,'Big Board (by rank)'!I:I))</f>
        <v/>
      </c>
      <c r="B272" s="6">
        <v>188.0</v>
      </c>
      <c r="C272" s="6">
        <v>175.0</v>
      </c>
      <c r="D272" s="6">
        <v>195.0</v>
      </c>
      <c r="E272" s="7" t="s">
        <v>309</v>
      </c>
      <c r="F272" s="7" t="s">
        <v>310</v>
      </c>
      <c r="G272" s="6" t="s">
        <v>32</v>
      </c>
      <c r="H272" s="6">
        <v>22.0</v>
      </c>
      <c r="I272" s="8">
        <v>97.3</v>
      </c>
      <c r="J272" s="9"/>
      <c r="K272" s="8"/>
    </row>
    <row r="273">
      <c r="A273" s="11" t="str">
        <f>IF(SUMIF('Big Board (by rank)'!D:D,E273,'Big Board (by rank)'!I:I)=0,"",SUMIF('Big Board (by rank)'!D:D,E273,'Big Board (by rank)'!I:I))</f>
        <v/>
      </c>
      <c r="B273" s="6">
        <v>190.0</v>
      </c>
      <c r="C273" s="6">
        <v>164.0</v>
      </c>
      <c r="D273" s="6">
        <v>201.0</v>
      </c>
      <c r="E273" s="7" t="s">
        <v>313</v>
      </c>
      <c r="F273" s="7" t="s">
        <v>80</v>
      </c>
      <c r="G273" s="6" t="s">
        <v>23</v>
      </c>
      <c r="H273" s="6">
        <v>10.0</v>
      </c>
      <c r="I273" s="8">
        <v>89.7</v>
      </c>
      <c r="J273" s="9"/>
      <c r="K273" s="8"/>
    </row>
    <row r="274">
      <c r="A274" s="11" t="str">
        <f>IF(SUMIF('Big Board (by rank)'!D:D,E274,'Big Board (by rank)'!I:I)=0,"",SUMIF('Big Board (by rank)'!D:D,E274,'Big Board (by rank)'!I:I))</f>
        <v/>
      </c>
      <c r="B274" s="6">
        <v>194.0</v>
      </c>
      <c r="C274" s="6">
        <v>214.0</v>
      </c>
      <c r="D274" s="6">
        <v>180.0</v>
      </c>
      <c r="E274" s="7" t="s">
        <v>317</v>
      </c>
      <c r="F274" s="7" t="s">
        <v>107</v>
      </c>
      <c r="G274" s="6" t="s">
        <v>234</v>
      </c>
      <c r="H274" s="6">
        <v>3.0</v>
      </c>
      <c r="I274" s="8">
        <v>101.9</v>
      </c>
      <c r="J274" s="9"/>
      <c r="K274" s="8"/>
    </row>
    <row r="275">
      <c r="A275" s="11" t="str">
        <f>IF(SUMIF('Big Board (by rank)'!D:D,E275,'Big Board (by rank)'!I:I)=0,"",SUMIF('Big Board (by rank)'!D:D,E275,'Big Board (by rank)'!I:I))</f>
        <v/>
      </c>
      <c r="B275" s="6">
        <v>199.0</v>
      </c>
      <c r="C275" s="6">
        <v>232.0</v>
      </c>
      <c r="D275" s="6">
        <v>186.0</v>
      </c>
      <c r="E275" s="7" t="s">
        <v>323</v>
      </c>
      <c r="F275" s="7" t="s">
        <v>14</v>
      </c>
      <c r="G275" s="6" t="s">
        <v>26</v>
      </c>
      <c r="H275" s="6">
        <v>15.0</v>
      </c>
      <c r="I275" s="8">
        <v>97.3</v>
      </c>
      <c r="J275" s="9"/>
      <c r="K275" s="8"/>
    </row>
    <row r="276">
      <c r="A276" s="11" t="str">
        <f>IF(SUMIF('Big Board (by rank)'!D:D,E276,'Big Board (by rank)'!I:I)=0,"",SUMIF('Big Board (by rank)'!D:D,E276,'Big Board (by rank)'!I:I))</f>
        <v/>
      </c>
      <c r="B276" s="6">
        <v>203.0</v>
      </c>
      <c r="C276" s="6">
        <v>202.0</v>
      </c>
      <c r="D276" s="6">
        <v>202.0</v>
      </c>
      <c r="E276" s="7" t="s">
        <v>328</v>
      </c>
      <c r="F276" s="7" t="s">
        <v>22</v>
      </c>
      <c r="G276" s="6" t="s">
        <v>38</v>
      </c>
      <c r="H276" s="6">
        <v>18.0</v>
      </c>
      <c r="I276" s="8">
        <v>86.5</v>
      </c>
      <c r="J276" s="9"/>
      <c r="K276" s="8"/>
    </row>
    <row r="277">
      <c r="A277" s="11" t="str">
        <f>IF(SUMIF('Big Board (by rank)'!D:D,E277,'Big Board (by rank)'!I:I)=0,"",SUMIF('Big Board (by rank)'!D:D,E277,'Big Board (by rank)'!I:I))</f>
        <v/>
      </c>
      <c r="B277" s="6">
        <v>206.0</v>
      </c>
      <c r="C277" s="6">
        <v>241.0</v>
      </c>
      <c r="D277" s="6">
        <v>196.0</v>
      </c>
      <c r="E277" s="7" t="s">
        <v>331</v>
      </c>
      <c r="F277" s="7" t="s">
        <v>144</v>
      </c>
      <c r="G277" s="6" t="s">
        <v>40</v>
      </c>
      <c r="H277" s="6">
        <v>29.0</v>
      </c>
      <c r="I277" s="8">
        <v>95.1</v>
      </c>
      <c r="J277" s="9"/>
      <c r="K277" s="8"/>
    </row>
    <row r="278">
      <c r="A278" s="11" t="str">
        <f>IF(SUMIF('Big Board (by rank)'!D:D,E278,'Big Board (by rank)'!I:I)=0,"",SUMIF('Big Board (by rank)'!D:D,E278,'Big Board (by rank)'!I:I))</f>
        <v/>
      </c>
      <c r="B278" s="6">
        <v>208.0</v>
      </c>
      <c r="C278" s="6">
        <v>212.0</v>
      </c>
      <c r="D278" s="6">
        <v>206.0</v>
      </c>
      <c r="E278" s="7" t="s">
        <v>333</v>
      </c>
      <c r="F278" s="7" t="s">
        <v>334</v>
      </c>
      <c r="G278" s="6" t="s">
        <v>23</v>
      </c>
      <c r="H278" s="6">
        <v>13.0</v>
      </c>
      <c r="I278" s="8">
        <v>99.6</v>
      </c>
      <c r="J278" s="9"/>
      <c r="K278" s="8"/>
    </row>
    <row r="279">
      <c r="A279" s="11" t="str">
        <f>IF(SUMIF('Big Board (by rank)'!D:D,E279,'Big Board (by rank)'!I:I)=0,"",SUMIF('Big Board (by rank)'!D:D,E279,'Big Board (by rank)'!I:I))</f>
        <v/>
      </c>
      <c r="B279" s="6">
        <v>213.0</v>
      </c>
      <c r="C279" s="6">
        <v>242.0</v>
      </c>
      <c r="D279" s="6">
        <v>208.0</v>
      </c>
      <c r="E279" s="7" t="s">
        <v>339</v>
      </c>
      <c r="F279" s="7" t="s">
        <v>340</v>
      </c>
      <c r="G279" s="6" t="s">
        <v>63</v>
      </c>
      <c r="H279" s="6">
        <v>18.0</v>
      </c>
      <c r="I279" s="8">
        <v>84.2</v>
      </c>
      <c r="J279" s="9"/>
      <c r="K279" s="8"/>
    </row>
    <row r="280">
      <c r="A280" s="11" t="str">
        <f>IF(SUMIF('Big Board (by rank)'!D:D,E280,'Big Board (by rank)'!I:I)=0,"",SUMIF('Big Board (by rank)'!D:D,E280,'Big Board (by rank)'!I:I))</f>
        <v/>
      </c>
      <c r="B280" s="6">
        <v>216.0</v>
      </c>
      <c r="C280" s="6">
        <v>227.0</v>
      </c>
      <c r="D280" s="6">
        <v>214.0</v>
      </c>
      <c r="E280" s="7" t="s">
        <v>343</v>
      </c>
      <c r="F280" s="7" t="s">
        <v>344</v>
      </c>
      <c r="G280" s="6" t="s">
        <v>44</v>
      </c>
      <c r="H280" s="6">
        <v>25.0</v>
      </c>
      <c r="I280" s="8">
        <v>85.6</v>
      </c>
      <c r="J280" s="9"/>
      <c r="K280" s="8"/>
    </row>
    <row r="281">
      <c r="A281" s="11" t="str">
        <f>IF(SUMIF('Big Board (by rank)'!D:D,E281,'Big Board (by rank)'!I:I)=0,"",SUMIF('Big Board (by rank)'!D:D,E281,'Big Board (by rank)'!I:I))</f>
        <v/>
      </c>
      <c r="B281" s="6">
        <v>217.0</v>
      </c>
      <c r="C281" s="6">
        <v>217.0</v>
      </c>
      <c r="D281" s="6">
        <v>220.0</v>
      </c>
      <c r="E281" s="7" t="s">
        <v>345</v>
      </c>
      <c r="F281" s="7" t="s">
        <v>47</v>
      </c>
      <c r="G281" s="6" t="s">
        <v>19</v>
      </c>
      <c r="H281" s="6">
        <v>20.0</v>
      </c>
      <c r="I281" s="8">
        <v>82.4</v>
      </c>
      <c r="J281" s="9"/>
      <c r="K281" s="8"/>
    </row>
    <row r="282">
      <c r="A282" s="11" t="str">
        <f>IF(SUMIF('Big Board (by rank)'!D:D,E282,'Big Board (by rank)'!I:I)=0,"",SUMIF('Big Board (by rank)'!D:D,E282,'Big Board (by rank)'!I:I))</f>
        <v/>
      </c>
      <c r="B282" s="6">
        <v>220.0</v>
      </c>
      <c r="C282" s="6">
        <v>264.0</v>
      </c>
      <c r="D282" s="6">
        <v>212.0</v>
      </c>
      <c r="E282" s="7" t="s">
        <v>348</v>
      </c>
      <c r="F282" s="7" t="s">
        <v>14</v>
      </c>
      <c r="G282" s="6" t="s">
        <v>32</v>
      </c>
      <c r="H282" s="6">
        <v>24.0</v>
      </c>
      <c r="I282" s="8">
        <v>91.5</v>
      </c>
      <c r="J282" s="9"/>
      <c r="K282" s="8"/>
    </row>
    <row r="283">
      <c r="A283" s="11" t="str">
        <f>IF(SUMIF('Big Board (by rank)'!D:D,E283,'Big Board (by rank)'!I:I)=0,"",SUMIF('Big Board (by rank)'!D:D,E283,'Big Board (by rank)'!I:I))</f>
        <v/>
      </c>
      <c r="B283" s="6">
        <v>222.0</v>
      </c>
      <c r="C283" s="6">
        <v>219.0</v>
      </c>
      <c r="D283" s="6">
        <v>229.0</v>
      </c>
      <c r="E283" s="7" t="s">
        <v>350</v>
      </c>
      <c r="F283" s="7" t="s">
        <v>14</v>
      </c>
      <c r="G283" s="6" t="s">
        <v>23</v>
      </c>
      <c r="H283" s="6">
        <v>15.0</v>
      </c>
      <c r="I283" s="8">
        <v>86.9</v>
      </c>
      <c r="J283" s="9"/>
      <c r="K283" s="8"/>
    </row>
    <row r="284">
      <c r="A284" s="11" t="str">
        <f>IF(SUMIF('Big Board (by rank)'!D:D,E284,'Big Board (by rank)'!I:I)=0,"",SUMIF('Big Board (by rank)'!D:D,E284,'Big Board (by rank)'!I:I))</f>
        <v/>
      </c>
      <c r="B284" s="6">
        <v>223.0</v>
      </c>
      <c r="C284" s="6">
        <v>224.0</v>
      </c>
      <c r="D284" s="6">
        <v>228.0</v>
      </c>
      <c r="E284" s="7" t="s">
        <v>351</v>
      </c>
      <c r="F284" s="7" t="s">
        <v>227</v>
      </c>
      <c r="G284" s="6" t="s">
        <v>15</v>
      </c>
      <c r="H284" s="6">
        <v>9.0</v>
      </c>
      <c r="I284" s="8">
        <v>86.0</v>
      </c>
      <c r="J284" s="9"/>
      <c r="K284" s="8"/>
    </row>
    <row r="285">
      <c r="A285" s="11" t="str">
        <f>IF(SUMIF('Big Board (by rank)'!D:D,E285,'Big Board (by rank)'!I:I)=0,"",SUMIF('Big Board (by rank)'!D:D,E285,'Big Board (by rank)'!I:I))</f>
        <v/>
      </c>
      <c r="B285" s="6">
        <v>224.0</v>
      </c>
      <c r="C285" s="6">
        <v>210.0</v>
      </c>
      <c r="D285" s="6">
        <v>230.0</v>
      </c>
      <c r="E285" s="7" t="s">
        <v>352</v>
      </c>
      <c r="F285" s="7" t="s">
        <v>259</v>
      </c>
      <c r="G285" s="6" t="s">
        <v>38</v>
      </c>
      <c r="H285" s="6">
        <v>19.0</v>
      </c>
      <c r="I285" s="8">
        <v>79.3</v>
      </c>
      <c r="J285" s="9"/>
      <c r="K285" s="8"/>
    </row>
    <row r="286">
      <c r="A286" s="11" t="str">
        <f>IF(SUMIF('Big Board (by rank)'!D:D,E286,'Big Board (by rank)'!I:I)=0,"",SUMIF('Big Board (by rank)'!D:D,E286,'Big Board (by rank)'!I:I))</f>
        <v/>
      </c>
      <c r="B286" s="6">
        <v>225.0</v>
      </c>
      <c r="C286" s="6">
        <v>248.0</v>
      </c>
      <c r="D286" s="6">
        <v>221.0</v>
      </c>
      <c r="E286" s="7" t="s">
        <v>353</v>
      </c>
      <c r="F286" s="7" t="s">
        <v>70</v>
      </c>
      <c r="G286" s="6" t="s">
        <v>54</v>
      </c>
      <c r="H286" s="6">
        <v>18.0</v>
      </c>
      <c r="I286" s="8">
        <v>101.4</v>
      </c>
      <c r="J286" s="9"/>
      <c r="K286" s="8"/>
    </row>
    <row r="287">
      <c r="A287" s="11" t="str">
        <f>IF(SUMIF('Big Board (by rank)'!D:D,E287,'Big Board (by rank)'!I:I)=0,"",SUMIF('Big Board (by rank)'!D:D,E287,'Big Board (by rank)'!I:I))</f>
        <v/>
      </c>
      <c r="B287" s="6">
        <v>230.0</v>
      </c>
      <c r="C287" s="6">
        <v>278.0</v>
      </c>
      <c r="D287" s="6">
        <v>218.0</v>
      </c>
      <c r="E287" s="7" t="s">
        <v>358</v>
      </c>
      <c r="F287" s="7" t="s">
        <v>223</v>
      </c>
      <c r="G287" s="6" t="s">
        <v>44</v>
      </c>
      <c r="H287" s="6">
        <v>26.0</v>
      </c>
      <c r="I287" s="8">
        <v>121.3</v>
      </c>
      <c r="J287" s="9"/>
      <c r="K287" s="8"/>
    </row>
    <row r="288">
      <c r="A288" s="11" t="str">
        <f>IF(SUMIF('Big Board (by rank)'!D:D,E288,'Big Board (by rank)'!I:I)=0,"",SUMIF('Big Board (by rank)'!D:D,E288,'Big Board (by rank)'!I:I))</f>
        <v/>
      </c>
      <c r="B288" s="6">
        <v>231.0</v>
      </c>
      <c r="C288" s="6">
        <v>265.0</v>
      </c>
      <c r="D288" s="6">
        <v>227.0</v>
      </c>
      <c r="E288" s="7" t="s">
        <v>359</v>
      </c>
      <c r="F288" s="7" t="s">
        <v>185</v>
      </c>
      <c r="G288" s="6" t="s">
        <v>32</v>
      </c>
      <c r="H288" s="6">
        <v>25.0</v>
      </c>
      <c r="I288" s="8">
        <v>74.3</v>
      </c>
      <c r="J288" s="9"/>
      <c r="K288" s="8"/>
    </row>
    <row r="289">
      <c r="A289" s="11" t="str">
        <f>IF(SUMIF('Big Board (by rank)'!D:D,E289,'Big Board (by rank)'!I:I)=0,"",SUMIF('Big Board (by rank)'!D:D,E289,'Big Board (by rank)'!I:I))</f>
        <v/>
      </c>
      <c r="B289" s="6">
        <v>237.0</v>
      </c>
      <c r="C289" s="6">
        <v>215.0</v>
      </c>
      <c r="D289" s="6">
        <v>241.0</v>
      </c>
      <c r="E289" s="7" t="s">
        <v>365</v>
      </c>
      <c r="F289" s="7" t="s">
        <v>208</v>
      </c>
      <c r="G289" s="6" t="s">
        <v>44</v>
      </c>
      <c r="H289" s="6">
        <v>27.0</v>
      </c>
      <c r="I289" s="8">
        <v>73.9</v>
      </c>
      <c r="J289" s="9"/>
      <c r="K289" s="8"/>
    </row>
    <row r="290">
      <c r="A290" s="11" t="str">
        <f>IF(SUMIF('Big Board (by rank)'!D:D,E290,'Big Board (by rank)'!I:I)=0,"",SUMIF('Big Board (by rank)'!D:D,E290,'Big Board (by rank)'!I:I))</f>
        <v/>
      </c>
      <c r="B290" s="6">
        <v>238.0</v>
      </c>
      <c r="C290" s="6">
        <v>194.0</v>
      </c>
      <c r="D290" s="6">
        <v>239.0</v>
      </c>
      <c r="E290" s="7" t="s">
        <v>366</v>
      </c>
      <c r="F290" s="7" t="s">
        <v>47</v>
      </c>
      <c r="G290" s="6" t="s">
        <v>32</v>
      </c>
      <c r="H290" s="6">
        <v>28.0</v>
      </c>
      <c r="I290" s="8">
        <v>77.5</v>
      </c>
      <c r="J290" s="9"/>
      <c r="K290" s="8"/>
    </row>
    <row r="291">
      <c r="A291" s="11" t="str">
        <f>IF(SUMIF('Big Board (by rank)'!D:D,E291,'Big Board (by rank)'!I:I)=0,"",SUMIF('Big Board (by rank)'!D:D,E291,'Big Board (by rank)'!I:I))</f>
        <v/>
      </c>
      <c r="B291" s="6">
        <v>239.0</v>
      </c>
      <c r="C291" s="6">
        <v>222.0</v>
      </c>
      <c r="D291" s="6">
        <v>237.0</v>
      </c>
      <c r="E291" s="7" t="s">
        <v>367</v>
      </c>
      <c r="F291" s="7" t="s">
        <v>107</v>
      </c>
      <c r="G291" s="6" t="s">
        <v>40</v>
      </c>
      <c r="H291" s="6">
        <v>33.0</v>
      </c>
      <c r="I291" s="8">
        <v>81.1</v>
      </c>
      <c r="J291" s="9"/>
      <c r="K291" s="8"/>
    </row>
    <row r="292">
      <c r="A292" s="11" t="str">
        <f>IF(SUMIF('Big Board (by rank)'!D:D,E292,'Big Board (by rank)'!I:I)=0,"",SUMIF('Big Board (by rank)'!D:D,E292,'Big Board (by rank)'!I:I))</f>
        <v/>
      </c>
      <c r="B292" s="6">
        <v>242.0</v>
      </c>
      <c r="C292" s="6">
        <v>239.0</v>
      </c>
      <c r="D292" s="6">
        <v>243.0</v>
      </c>
      <c r="E292" s="7" t="s">
        <v>371</v>
      </c>
      <c r="F292" s="7" t="s">
        <v>130</v>
      </c>
      <c r="G292" s="6" t="s">
        <v>15</v>
      </c>
      <c r="H292" s="6">
        <v>10.0</v>
      </c>
      <c r="I292" s="8">
        <v>78.8</v>
      </c>
      <c r="J292" s="9"/>
      <c r="K292" s="8"/>
    </row>
    <row r="293">
      <c r="A293" s="11" t="str">
        <f>IF(SUMIF('Big Board (by rank)'!D:D,E293,'Big Board (by rank)'!I:I)=0,"",SUMIF('Big Board (by rank)'!D:D,E293,'Big Board (by rank)'!I:I))</f>
        <v/>
      </c>
      <c r="B293" s="6">
        <v>245.0</v>
      </c>
      <c r="C293" s="6">
        <v>267.0</v>
      </c>
      <c r="D293" s="6">
        <v>248.0</v>
      </c>
      <c r="E293" s="7" t="s">
        <v>374</v>
      </c>
      <c r="F293" s="7" t="s">
        <v>124</v>
      </c>
      <c r="G293" s="6" t="s">
        <v>23</v>
      </c>
      <c r="H293" s="6">
        <v>16.0</v>
      </c>
      <c r="I293" s="8">
        <v>88.3</v>
      </c>
      <c r="J293" s="9"/>
      <c r="K293" s="8"/>
    </row>
    <row r="294">
      <c r="A294" s="11" t="str">
        <f>IF(SUMIF('Big Board (by rank)'!D:D,E294,'Big Board (by rank)'!I:I)=0,"",SUMIF('Big Board (by rank)'!D:D,E294,'Big Board (by rank)'!I:I))</f>
        <v/>
      </c>
      <c r="B294" s="6">
        <v>247.0</v>
      </c>
      <c r="C294" s="6">
        <v>260.0</v>
      </c>
      <c r="D294" s="6">
        <v>245.0</v>
      </c>
      <c r="E294" s="7" t="s">
        <v>376</v>
      </c>
      <c r="F294" s="7" t="s">
        <v>50</v>
      </c>
      <c r="G294" s="6" t="s">
        <v>19</v>
      </c>
      <c r="H294" s="6">
        <v>22.0</v>
      </c>
      <c r="I294" s="8">
        <v>83.8</v>
      </c>
      <c r="J294" s="9"/>
      <c r="K294" s="8"/>
    </row>
    <row r="295">
      <c r="A295" s="11" t="str">
        <f>IF(SUMIF('Big Board (by rank)'!D:D,E295,'Big Board (by rank)'!I:I)=0,"",SUMIF('Big Board (by rank)'!D:D,E295,'Big Board (by rank)'!I:I))</f>
        <v/>
      </c>
      <c r="B295" s="6">
        <v>251.0</v>
      </c>
      <c r="C295" s="6">
        <v>272.0</v>
      </c>
      <c r="D295" s="6">
        <v>252.0</v>
      </c>
      <c r="E295" s="7" t="s">
        <v>380</v>
      </c>
      <c r="F295" s="7" t="s">
        <v>381</v>
      </c>
      <c r="G295" s="6" t="s">
        <v>23</v>
      </c>
      <c r="H295" s="6">
        <v>18.0</v>
      </c>
      <c r="I295" s="8">
        <v>89.7</v>
      </c>
      <c r="J295" s="9"/>
      <c r="K295" s="8"/>
    </row>
    <row r="296">
      <c r="A296" s="11" t="str">
        <f>IF(SUMIF('Big Board (by rank)'!D:D,E296,'Big Board (by rank)'!I:I)=0,"",SUMIF('Big Board (by rank)'!D:D,E296,'Big Board (by rank)'!I:I))</f>
        <v/>
      </c>
      <c r="B296" s="6">
        <v>252.0</v>
      </c>
      <c r="C296" s="6">
        <v>225.0</v>
      </c>
      <c r="D296" s="6">
        <v>256.0</v>
      </c>
      <c r="E296" s="7" t="s">
        <v>382</v>
      </c>
      <c r="F296" s="7" t="s">
        <v>166</v>
      </c>
      <c r="G296" s="6" t="s">
        <v>85</v>
      </c>
      <c r="H296" s="6">
        <v>10.0</v>
      </c>
      <c r="I296" s="8">
        <v>69.8</v>
      </c>
      <c r="J296" s="9"/>
      <c r="K296" s="8"/>
    </row>
    <row r="297">
      <c r="A297" s="11" t="str">
        <f>IF(SUMIF('Big Board (by rank)'!D:D,E297,'Big Board (by rank)'!I:I)=0,"",SUMIF('Big Board (by rank)'!D:D,E297,'Big Board (by rank)'!I:I))</f>
        <v/>
      </c>
      <c r="B297" s="6">
        <v>255.0</v>
      </c>
      <c r="C297" s="6">
        <v>290.0</v>
      </c>
      <c r="D297" s="6">
        <v>249.0</v>
      </c>
      <c r="E297" s="7" t="s">
        <v>385</v>
      </c>
      <c r="F297" s="7" t="s">
        <v>153</v>
      </c>
      <c r="G297" s="6" t="s">
        <v>26</v>
      </c>
      <c r="H297" s="6">
        <v>19.0</v>
      </c>
      <c r="I297" s="8">
        <v>69.3</v>
      </c>
      <c r="J297" s="9"/>
      <c r="K297" s="8"/>
    </row>
    <row r="298">
      <c r="A298" s="11" t="str">
        <f>IF(SUMIF('Big Board (by rank)'!D:D,E298,'Big Board (by rank)'!I:I)=0,"",SUMIF('Big Board (by rank)'!D:D,E298,'Big Board (by rank)'!I:I))</f>
        <v/>
      </c>
      <c r="B298" s="6">
        <v>256.0</v>
      </c>
      <c r="C298" s="6">
        <v>302.0</v>
      </c>
      <c r="D298" s="6">
        <v>240.0</v>
      </c>
      <c r="E298" s="7" t="s">
        <v>386</v>
      </c>
      <c r="F298" s="7" t="s">
        <v>43</v>
      </c>
      <c r="G298" s="6" t="s">
        <v>40</v>
      </c>
      <c r="H298" s="6">
        <v>36.0</v>
      </c>
      <c r="I298" s="8">
        <v>81.6</v>
      </c>
      <c r="J298" s="9"/>
      <c r="K298" s="8"/>
    </row>
    <row r="299">
      <c r="A299" s="11" t="str">
        <f>IF(SUMIF('Big Board (by rank)'!D:D,E299,'Big Board (by rank)'!I:I)=0,"",SUMIF('Big Board (by rank)'!D:D,E299,'Big Board (by rank)'!I:I))</f>
        <v/>
      </c>
      <c r="B299" s="6">
        <v>257.0</v>
      </c>
      <c r="C299" s="6">
        <v>314.0</v>
      </c>
      <c r="D299" s="6">
        <v>251.0</v>
      </c>
      <c r="E299" s="7" t="s">
        <v>387</v>
      </c>
      <c r="F299" s="7" t="s">
        <v>388</v>
      </c>
      <c r="G299" s="6" t="s">
        <v>40</v>
      </c>
      <c r="H299" s="6">
        <v>37.0</v>
      </c>
      <c r="I299" s="8">
        <v>83.8</v>
      </c>
      <c r="J299" s="9"/>
      <c r="K299" s="8"/>
    </row>
    <row r="300">
      <c r="A300" s="11" t="str">
        <f>IF(SUMIF('Big Board (by rank)'!D:D,E300,'Big Board (by rank)'!I:I)=0,"",SUMIF('Big Board (by rank)'!D:D,E300,'Big Board (by rank)'!I:I))</f>
        <v/>
      </c>
      <c r="B300" s="6">
        <v>258.0</v>
      </c>
      <c r="C300" s="6">
        <v>244.0</v>
      </c>
      <c r="D300" s="6">
        <v>255.0</v>
      </c>
      <c r="E300" s="7" t="s">
        <v>389</v>
      </c>
      <c r="F300" s="7" t="s">
        <v>204</v>
      </c>
      <c r="G300" s="6" t="s">
        <v>26</v>
      </c>
      <c r="H300" s="6">
        <v>20.0</v>
      </c>
      <c r="I300" s="8">
        <v>70.7</v>
      </c>
      <c r="J300" s="9"/>
      <c r="K300" s="8"/>
    </row>
    <row r="301">
      <c r="A301" s="11" t="str">
        <f>IF(SUMIF('Big Board (by rank)'!D:D,E301,'Big Board (by rank)'!I:I)=0,"",SUMIF('Big Board (by rank)'!D:D,E301,'Big Board (by rank)'!I:I))</f>
        <v/>
      </c>
      <c r="B301" s="6">
        <v>259.0</v>
      </c>
      <c r="C301" s="6">
        <v>233.0</v>
      </c>
      <c r="D301" s="6">
        <v>262.0</v>
      </c>
      <c r="E301" s="7" t="s">
        <v>390</v>
      </c>
      <c r="F301" s="7" t="s">
        <v>57</v>
      </c>
      <c r="G301" s="6" t="s">
        <v>91</v>
      </c>
      <c r="H301" s="6">
        <v>9.0</v>
      </c>
      <c r="I301" s="8">
        <v>77.9</v>
      </c>
      <c r="J301" s="9"/>
      <c r="K301" s="8"/>
    </row>
    <row r="302">
      <c r="A302" s="11"/>
      <c r="B302" s="6">
        <v>261.0</v>
      </c>
      <c r="C302" s="6">
        <v>321.0</v>
      </c>
      <c r="D302" s="6">
        <v>247.0</v>
      </c>
      <c r="E302" s="7" t="s">
        <v>392</v>
      </c>
      <c r="F302" s="7" t="s">
        <v>312</v>
      </c>
      <c r="G302" s="6" t="s">
        <v>40</v>
      </c>
      <c r="H302" s="6">
        <v>38.0</v>
      </c>
      <c r="I302" s="8">
        <v>65.7</v>
      </c>
      <c r="J302" s="9"/>
      <c r="K302" s="8"/>
    </row>
    <row r="303">
      <c r="A303" s="11"/>
      <c r="B303" s="6">
        <v>267.0</v>
      </c>
      <c r="C303" s="6">
        <v>286.0</v>
      </c>
      <c r="D303" s="6">
        <v>268.0</v>
      </c>
      <c r="E303" s="7" t="s">
        <v>399</v>
      </c>
      <c r="F303" s="7" t="s">
        <v>43</v>
      </c>
      <c r="G303" s="6" t="s">
        <v>32</v>
      </c>
      <c r="H303" s="6">
        <v>30.0</v>
      </c>
      <c r="I303" s="8">
        <v>73.9</v>
      </c>
      <c r="J303" s="9"/>
      <c r="K303" s="8"/>
    </row>
    <row r="304">
      <c r="A304" s="11"/>
      <c r="B304" s="6">
        <v>268.0</v>
      </c>
      <c r="C304" s="6">
        <v>249.0</v>
      </c>
      <c r="D304" s="6">
        <v>283.0</v>
      </c>
      <c r="E304" s="7" t="s">
        <v>400</v>
      </c>
      <c r="F304" s="7" t="s">
        <v>50</v>
      </c>
      <c r="G304" s="6" t="s">
        <v>63</v>
      </c>
      <c r="H304" s="6">
        <v>21.0</v>
      </c>
      <c r="I304" s="8">
        <v>75.7</v>
      </c>
      <c r="J304" s="9"/>
      <c r="K304" s="8"/>
    </row>
    <row r="305">
      <c r="A305" s="11"/>
      <c r="B305" s="6">
        <v>269.0</v>
      </c>
      <c r="C305" s="6">
        <v>292.0</v>
      </c>
      <c r="D305" s="6">
        <v>263.0</v>
      </c>
      <c r="E305" s="7" t="s">
        <v>401</v>
      </c>
      <c r="F305" s="7" t="s">
        <v>137</v>
      </c>
      <c r="G305" s="6" t="s">
        <v>234</v>
      </c>
      <c r="H305" s="6">
        <v>7.0</v>
      </c>
      <c r="I305" s="8">
        <v>107.3</v>
      </c>
      <c r="J305" s="9"/>
      <c r="K305" s="8"/>
    </row>
    <row r="306">
      <c r="A306" s="11"/>
      <c r="B306" s="6">
        <v>270.0</v>
      </c>
      <c r="C306" s="6">
        <v>276.0</v>
      </c>
      <c r="D306" s="6">
        <v>277.0</v>
      </c>
      <c r="E306" s="7" t="s">
        <v>402</v>
      </c>
      <c r="F306" s="7" t="s">
        <v>62</v>
      </c>
      <c r="G306" s="6" t="s">
        <v>23</v>
      </c>
      <c r="H306" s="6">
        <v>19.0</v>
      </c>
      <c r="I306" s="8">
        <v>67.1</v>
      </c>
      <c r="J306" s="9"/>
      <c r="K306" s="8"/>
    </row>
    <row r="307">
      <c r="A307" s="11"/>
      <c r="B307" s="6">
        <v>271.0</v>
      </c>
      <c r="C307" s="6">
        <v>257.0</v>
      </c>
      <c r="D307" s="6">
        <v>278.0</v>
      </c>
      <c r="E307" s="7" t="s">
        <v>403</v>
      </c>
      <c r="F307" s="7" t="s">
        <v>119</v>
      </c>
      <c r="G307" s="6" t="s">
        <v>23</v>
      </c>
      <c r="H307" s="6">
        <v>20.0</v>
      </c>
      <c r="I307" s="8">
        <v>72.1</v>
      </c>
      <c r="J307" s="9"/>
      <c r="K307" s="8"/>
    </row>
    <row r="308">
      <c r="A308" s="11"/>
      <c r="B308" s="6">
        <v>272.0</v>
      </c>
      <c r="C308" s="6">
        <v>313.0</v>
      </c>
      <c r="D308" s="6">
        <v>272.0</v>
      </c>
      <c r="E308" s="7" t="s">
        <v>404</v>
      </c>
      <c r="F308" s="7" t="s">
        <v>158</v>
      </c>
      <c r="G308" s="6" t="s">
        <v>23</v>
      </c>
      <c r="H308" s="6">
        <v>21.0</v>
      </c>
      <c r="I308" s="8">
        <v>68.0</v>
      </c>
      <c r="J308" s="9"/>
      <c r="K308" s="8"/>
    </row>
    <row r="309">
      <c r="A309" s="11"/>
      <c r="B309" s="6">
        <v>274.0</v>
      </c>
      <c r="C309" s="6">
        <v>349.0</v>
      </c>
      <c r="D309" s="6">
        <v>265.0</v>
      </c>
      <c r="E309" s="7" t="s">
        <v>406</v>
      </c>
      <c r="F309" s="7" t="s">
        <v>53</v>
      </c>
      <c r="G309" s="6" t="s">
        <v>38</v>
      </c>
      <c r="H309" s="6">
        <v>20.0</v>
      </c>
      <c r="I309" s="8">
        <v>77.9</v>
      </c>
      <c r="J309" s="9"/>
      <c r="K309" s="8"/>
    </row>
    <row r="310">
      <c r="A310" s="11"/>
      <c r="B310" s="6">
        <v>275.0</v>
      </c>
      <c r="C310" s="6">
        <v>258.0</v>
      </c>
      <c r="D310" s="6">
        <v>279.0</v>
      </c>
      <c r="E310" s="7" t="s">
        <v>407</v>
      </c>
      <c r="F310" s="7" t="s">
        <v>166</v>
      </c>
      <c r="G310" s="6" t="s">
        <v>19</v>
      </c>
      <c r="H310" s="6">
        <v>23.0</v>
      </c>
      <c r="I310" s="8">
        <v>64.8</v>
      </c>
      <c r="J310" s="9"/>
      <c r="K310" s="8"/>
    </row>
    <row r="311">
      <c r="A311" s="11"/>
      <c r="B311" s="6">
        <v>276.0</v>
      </c>
      <c r="C311" s="6">
        <v>237.0</v>
      </c>
      <c r="D311" s="6">
        <v>290.0</v>
      </c>
      <c r="E311" s="7" t="s">
        <v>408</v>
      </c>
      <c r="F311" s="7" t="s">
        <v>202</v>
      </c>
      <c r="G311" s="6" t="s">
        <v>40</v>
      </c>
      <c r="H311" s="6">
        <v>41.0</v>
      </c>
      <c r="I311" s="8">
        <v>72.5</v>
      </c>
      <c r="J311" s="9"/>
      <c r="K311" s="8"/>
    </row>
    <row r="312">
      <c r="A312" s="11"/>
      <c r="B312" s="6">
        <v>277.0</v>
      </c>
      <c r="C312" s="6">
        <v>306.0</v>
      </c>
      <c r="D312" s="6">
        <v>273.0</v>
      </c>
      <c r="E312" s="7" t="s">
        <v>409</v>
      </c>
      <c r="F312" s="7" t="s">
        <v>142</v>
      </c>
      <c r="G312" s="6" t="s">
        <v>15</v>
      </c>
      <c r="H312" s="6">
        <v>11.0</v>
      </c>
      <c r="I312" s="8">
        <v>72.9</v>
      </c>
      <c r="J312" s="9"/>
      <c r="K312" s="8"/>
    </row>
    <row r="313">
      <c r="A313" s="11"/>
      <c r="B313" s="6">
        <v>278.0</v>
      </c>
      <c r="C313" s="6">
        <v>234.0</v>
      </c>
      <c r="D313" s="6">
        <v>289.0</v>
      </c>
      <c r="E313" s="7" t="s">
        <v>410</v>
      </c>
      <c r="F313" s="7" t="s">
        <v>270</v>
      </c>
      <c r="G313" s="6" t="s">
        <v>44</v>
      </c>
      <c r="H313" s="6">
        <v>30.0</v>
      </c>
      <c r="I313" s="8">
        <v>91.5</v>
      </c>
      <c r="J313" s="9"/>
      <c r="K313" s="8"/>
    </row>
    <row r="314">
      <c r="A314" s="11"/>
      <c r="B314" s="6">
        <v>279.0</v>
      </c>
      <c r="C314" s="6">
        <v>283.0</v>
      </c>
      <c r="D314" s="6">
        <v>276.0</v>
      </c>
      <c r="E314" s="7" t="s">
        <v>411</v>
      </c>
      <c r="F314" s="7" t="s">
        <v>144</v>
      </c>
      <c r="G314" s="6" t="s">
        <v>15</v>
      </c>
      <c r="H314" s="6">
        <v>12.0</v>
      </c>
      <c r="I314" s="8">
        <v>67.1</v>
      </c>
      <c r="J314" s="9"/>
      <c r="K314" s="8"/>
    </row>
    <row r="315">
      <c r="A315" s="11"/>
      <c r="B315" s="6">
        <v>282.0</v>
      </c>
      <c r="C315" s="6">
        <v>304.0</v>
      </c>
      <c r="D315" s="6">
        <v>275.0</v>
      </c>
      <c r="E315" s="7" t="s">
        <v>415</v>
      </c>
      <c r="F315" s="7" t="s">
        <v>370</v>
      </c>
      <c r="G315" s="6" t="s">
        <v>40</v>
      </c>
      <c r="H315" s="6">
        <v>42.0</v>
      </c>
      <c r="I315" s="8">
        <v>71.6</v>
      </c>
      <c r="J315" s="9"/>
      <c r="K315" s="8"/>
    </row>
    <row r="316">
      <c r="A316" s="11"/>
      <c r="B316" s="6">
        <v>285.0</v>
      </c>
      <c r="C316" s="6">
        <v>291.0</v>
      </c>
      <c r="D316" s="6">
        <v>284.0</v>
      </c>
      <c r="E316" s="7" t="s">
        <v>419</v>
      </c>
      <c r="F316" s="7" t="s">
        <v>340</v>
      </c>
      <c r="G316" s="6" t="s">
        <v>54</v>
      </c>
      <c r="H316" s="6">
        <v>22.0</v>
      </c>
      <c r="I316" s="8">
        <v>81.5</v>
      </c>
      <c r="J316" s="9"/>
      <c r="K316" s="8"/>
    </row>
    <row r="317">
      <c r="A317" s="11"/>
      <c r="B317" s="6">
        <v>286.0</v>
      </c>
      <c r="C317" s="6">
        <v>318.0</v>
      </c>
      <c r="D317" s="6">
        <v>280.0</v>
      </c>
      <c r="E317" s="7" t="s">
        <v>420</v>
      </c>
      <c r="F317" s="7" t="s">
        <v>153</v>
      </c>
      <c r="G317" s="6" t="s">
        <v>85</v>
      </c>
      <c r="H317" s="6">
        <v>12.0</v>
      </c>
      <c r="I317" s="8">
        <v>87.4</v>
      </c>
      <c r="J317" s="9"/>
      <c r="K317" s="8"/>
    </row>
    <row r="318">
      <c r="A318" s="11"/>
      <c r="B318" s="6">
        <v>287.0</v>
      </c>
      <c r="C318" s="6">
        <v>287.0</v>
      </c>
      <c r="D318" s="6">
        <v>293.0</v>
      </c>
      <c r="E318" s="7" t="s">
        <v>421</v>
      </c>
      <c r="F318" s="7" t="s">
        <v>67</v>
      </c>
      <c r="G318" s="6" t="s">
        <v>40</v>
      </c>
      <c r="H318" s="6">
        <v>43.0</v>
      </c>
      <c r="I318" s="8">
        <v>68.4</v>
      </c>
      <c r="J318" s="9"/>
      <c r="K318" s="8"/>
    </row>
    <row r="319">
      <c r="A319" s="11"/>
      <c r="B319" s="6">
        <v>288.0</v>
      </c>
      <c r="C319" s="6">
        <v>277.0</v>
      </c>
      <c r="D319" s="6">
        <v>291.0</v>
      </c>
      <c r="E319" s="7" t="s">
        <v>422</v>
      </c>
      <c r="F319" s="7" t="s">
        <v>212</v>
      </c>
      <c r="G319" s="6" t="s">
        <v>85</v>
      </c>
      <c r="H319" s="6">
        <v>13.0</v>
      </c>
      <c r="I319" s="8">
        <v>75.2</v>
      </c>
      <c r="J319" s="9"/>
      <c r="K319" s="8"/>
    </row>
    <row r="320">
      <c r="A320" s="11"/>
      <c r="B320" s="6">
        <v>289.0</v>
      </c>
      <c r="C320" s="6">
        <v>296.0</v>
      </c>
      <c r="D320" s="6">
        <v>286.0</v>
      </c>
      <c r="E320" s="7" t="s">
        <v>423</v>
      </c>
      <c r="F320" s="7" t="s">
        <v>424</v>
      </c>
      <c r="G320" s="6" t="s">
        <v>32</v>
      </c>
      <c r="H320" s="6">
        <v>31.0</v>
      </c>
      <c r="I320" s="8">
        <v>92.4</v>
      </c>
      <c r="J320" s="9"/>
      <c r="K320" s="8"/>
    </row>
    <row r="321">
      <c r="A321" s="11"/>
      <c r="B321" s="6">
        <v>290.0</v>
      </c>
      <c r="C321" s="6">
        <v>280.0</v>
      </c>
      <c r="D321" s="6">
        <v>285.0</v>
      </c>
      <c r="E321" s="7" t="s">
        <v>425</v>
      </c>
      <c r="F321" s="7" t="s">
        <v>128</v>
      </c>
      <c r="G321" s="6" t="s">
        <v>32</v>
      </c>
      <c r="H321" s="6">
        <v>32.0</v>
      </c>
      <c r="I321" s="8">
        <v>89.2</v>
      </c>
      <c r="J321" s="9"/>
      <c r="K321" s="8"/>
    </row>
    <row r="322">
      <c r="A322" s="11"/>
      <c r="B322" s="6">
        <v>291.0</v>
      </c>
      <c r="C322" s="6">
        <v>326.0</v>
      </c>
      <c r="D322" s="6">
        <v>282.0</v>
      </c>
      <c r="E322" s="7" t="s">
        <v>426</v>
      </c>
      <c r="F322" s="7" t="s">
        <v>284</v>
      </c>
      <c r="G322" s="6" t="s">
        <v>44</v>
      </c>
      <c r="H322" s="6">
        <v>31.0</v>
      </c>
      <c r="I322" s="8">
        <v>106.4</v>
      </c>
      <c r="J322" s="9"/>
      <c r="K322" s="8"/>
    </row>
    <row r="323">
      <c r="A323" s="11"/>
      <c r="B323" s="6">
        <v>292.0</v>
      </c>
      <c r="C323" s="6">
        <v>353.0</v>
      </c>
      <c r="D323" s="6">
        <v>288.0</v>
      </c>
      <c r="E323" s="7" t="s">
        <v>427</v>
      </c>
      <c r="F323" s="7" t="s">
        <v>413</v>
      </c>
      <c r="G323" s="6" t="s">
        <v>15</v>
      </c>
      <c r="H323" s="6">
        <v>13.0</v>
      </c>
      <c r="I323" s="8">
        <v>63.9</v>
      </c>
      <c r="J323" s="9"/>
      <c r="K323" s="8"/>
    </row>
    <row r="324">
      <c r="A324" s="11"/>
      <c r="B324" s="6">
        <v>294.0</v>
      </c>
      <c r="C324" s="6">
        <v>327.0</v>
      </c>
      <c r="D324" s="6">
        <v>294.0</v>
      </c>
      <c r="E324" s="7" t="s">
        <v>429</v>
      </c>
      <c r="F324" s="7" t="s">
        <v>31</v>
      </c>
      <c r="G324" s="6" t="s">
        <v>170</v>
      </c>
      <c r="H324" s="6">
        <v>11.0</v>
      </c>
      <c r="I324" s="8">
        <v>61.2</v>
      </c>
      <c r="J324" s="9"/>
      <c r="K324" s="8"/>
    </row>
    <row r="325">
      <c r="A325" s="11"/>
      <c r="B325" s="6">
        <v>295.0</v>
      </c>
      <c r="C325" s="6">
        <v>263.0</v>
      </c>
      <c r="D325" s="6">
        <v>309.0</v>
      </c>
      <c r="E325" s="7" t="s">
        <v>430</v>
      </c>
      <c r="F325" s="7" t="s">
        <v>80</v>
      </c>
      <c r="G325" s="6" t="s">
        <v>19</v>
      </c>
      <c r="H325" s="6">
        <v>26.0</v>
      </c>
      <c r="I325" s="8">
        <v>61.7</v>
      </c>
      <c r="J325" s="9"/>
      <c r="K325" s="8"/>
    </row>
    <row r="326">
      <c r="A326" s="11"/>
      <c r="B326" s="6">
        <v>296.0</v>
      </c>
      <c r="C326" s="6">
        <v>270.0</v>
      </c>
      <c r="D326" s="6">
        <v>296.0</v>
      </c>
      <c r="E326" s="7" t="s">
        <v>431</v>
      </c>
      <c r="F326" s="7" t="s">
        <v>82</v>
      </c>
      <c r="G326" s="6" t="s">
        <v>44</v>
      </c>
      <c r="H326" s="6">
        <v>32.0</v>
      </c>
      <c r="I326" s="8">
        <v>72.5</v>
      </c>
      <c r="J326" s="9"/>
      <c r="K326" s="8"/>
    </row>
    <row r="327">
      <c r="A327" s="11"/>
      <c r="B327" s="6">
        <v>298.0</v>
      </c>
      <c r="C327" s="6">
        <v>337.0</v>
      </c>
      <c r="D327" s="6">
        <v>297.0</v>
      </c>
      <c r="E327" s="7" t="s">
        <v>433</v>
      </c>
      <c r="F327" s="7" t="s">
        <v>22</v>
      </c>
      <c r="G327" s="6" t="s">
        <v>26</v>
      </c>
      <c r="H327" s="6">
        <v>22.0</v>
      </c>
      <c r="I327" s="8">
        <v>78.8</v>
      </c>
      <c r="J327" s="9"/>
      <c r="K327" s="8"/>
    </row>
    <row r="328">
      <c r="A328" s="11"/>
      <c r="B328" s="6">
        <v>299.0</v>
      </c>
      <c r="C328" s="6">
        <v>266.0</v>
      </c>
      <c r="D328" s="6">
        <v>306.0</v>
      </c>
      <c r="E328" s="7" t="s">
        <v>434</v>
      </c>
      <c r="F328" s="7" t="s">
        <v>43</v>
      </c>
      <c r="G328" s="6" t="s">
        <v>32</v>
      </c>
      <c r="H328" s="6">
        <v>33.0</v>
      </c>
      <c r="I328" s="8">
        <v>61.2</v>
      </c>
      <c r="J328" s="9"/>
      <c r="K328" s="8"/>
    </row>
    <row r="329">
      <c r="A329" s="11"/>
      <c r="B329" s="6">
        <v>300.0</v>
      </c>
      <c r="C329" s="6">
        <v>298.0</v>
      </c>
      <c r="D329" s="6">
        <v>301.0</v>
      </c>
      <c r="E329" s="7" t="s">
        <v>435</v>
      </c>
      <c r="F329" s="7" t="s">
        <v>310</v>
      </c>
      <c r="G329" s="6" t="s">
        <v>40</v>
      </c>
      <c r="H329" s="6">
        <v>44.0</v>
      </c>
      <c r="I329" s="8">
        <v>61.2</v>
      </c>
      <c r="J329" s="9"/>
      <c r="K329" s="8"/>
    </row>
  </sheetData>
  <conditionalFormatting sqref="A2:K329">
    <cfRule type="expression" dxfId="1" priority="1">
      <formula>AND($J2&gt;=1,$J2&lt;300)</formula>
    </cfRule>
  </conditionalFormatting>
  <dataValidations>
    <dataValidation type="list" allowBlank="1" sqref="K2:K329">
      <formula1>'Team Names'!$A:$A</formula1>
    </dataValidation>
  </dataValidations>
  <printOptions gridLines="1" horizontalCentered="1"/>
  <pageMargins bottom="0.25" footer="0.0" header="0.0" left="0.25" right="0.25" top="0.2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4.13"/>
    <col customWidth="1" min="3" max="3" width="24.5"/>
    <col customWidth="1" min="4" max="4" width="5.13"/>
    <col customWidth="1" min="5" max="5" width="25.75"/>
    <col customWidth="1" min="6" max="6" width="3.75"/>
    <col customWidth="1" min="7" max="7" width="30.0"/>
  </cols>
  <sheetData>
    <row r="1">
      <c r="A1" s="12" t="s">
        <v>474</v>
      </c>
      <c r="B1" s="12" t="s">
        <v>11</v>
      </c>
      <c r="C1" s="13" t="s">
        <v>6</v>
      </c>
      <c r="D1" s="14" t="s">
        <v>475</v>
      </c>
      <c r="E1" s="14" t="s">
        <v>7</v>
      </c>
      <c r="F1" s="15" t="s">
        <v>473</v>
      </c>
      <c r="G1" s="13" t="s">
        <v>12</v>
      </c>
    </row>
    <row r="2">
      <c r="A2" s="16">
        <v>1.0</v>
      </c>
      <c r="B2" s="16">
        <v>1.0</v>
      </c>
      <c r="C2" s="17" t="str">
        <f>IFERROR(VLOOKUP(B2,'Big Board (by pick)'!A:E,5,FALSE),"")</f>
        <v>Fernando Mendoza</v>
      </c>
      <c r="D2" s="17" t="str">
        <f>IFERROR(VLOOKUP(C2,'Big Board (by rank)'!D:F,3,FALSE),"")</f>
        <v>QB</v>
      </c>
      <c r="E2" s="17" t="str">
        <f>IFERROR(VLOOKUP(C2,'Big Board (by rank)'!D:J,2,FALSE),"")</f>
        <v>Indiana</v>
      </c>
      <c r="F2" s="16">
        <f>IF(SUMIF('Big Board (by rank)'!D:D,C2,'Big Board (by rank)'!A:A)=0,"",SUMIF('Big Board (by rank)'!D:D,C2,'Big Board (by rank)'!A:A))</f>
        <v>1</v>
      </c>
      <c r="G2" s="18" t="str">
        <f>IFERROR(VLOOKUP(C2,'Big Board (by rank)'!D:J,7,FALSE),"")</f>
        <v>Las Vegas Raiders</v>
      </c>
    </row>
    <row r="3">
      <c r="A3" s="16">
        <v>1.0</v>
      </c>
      <c r="B3" s="16">
        <v>2.0</v>
      </c>
      <c r="C3" s="17" t="str">
        <f>IFERROR(VLOOKUP(B3,'Big Board (by pick)'!A:E,5,FALSE),"")</f>
        <v>David Bailey</v>
      </c>
      <c r="D3" s="17" t="str">
        <f>IFERROR(VLOOKUP(C3,'Big Board (by rank)'!D:F,3,FALSE),"")</f>
        <v>EDGE</v>
      </c>
      <c r="E3" s="17" t="str">
        <f>IFERROR(VLOOKUP(C3,'Big Board (by rank)'!D:J,2,FALSE),"")</f>
        <v>Texas Tech</v>
      </c>
      <c r="F3" s="16">
        <f>IF(SUMIF('Big Board (by rank)'!D:D,C3,'Big Board (by rank)'!A:A)=0,"",SUMIF('Big Board (by rank)'!D:D,C3,'Big Board (by rank)'!A:A))</f>
        <v>7</v>
      </c>
      <c r="G3" s="18" t="str">
        <f>IFERROR(VLOOKUP(C3,'Big Board (by rank)'!D:J,7,FALSE),"")</f>
        <v>New York Jets</v>
      </c>
    </row>
    <row r="4">
      <c r="A4" s="16">
        <v>1.0</v>
      </c>
      <c r="B4" s="16">
        <v>3.0</v>
      </c>
      <c r="C4" s="17" t="str">
        <f>IFERROR(VLOOKUP(B4,'Big Board (by pick)'!A:E,5,FALSE),"")</f>
        <v>Jeremiyah Love</v>
      </c>
      <c r="D4" s="17" t="str">
        <f>IFERROR(VLOOKUP(C4,'Big Board (by rank)'!D:F,3,FALSE),"")</f>
        <v>RB</v>
      </c>
      <c r="E4" s="17" t="str">
        <f>IFERROR(VLOOKUP(C4,'Big Board (by rank)'!D:J,2,FALSE),"")</f>
        <v>Notre Dame</v>
      </c>
      <c r="F4" s="16">
        <f>IF(SUMIF('Big Board (by rank)'!D:D,C4,'Big Board (by rank)'!A:A)=0,"",SUMIF('Big Board (by rank)'!D:D,C4,'Big Board (by rank)'!A:A))</f>
        <v>3</v>
      </c>
      <c r="G4" s="18" t="str">
        <f>IFERROR(VLOOKUP(C4,'Big Board (by rank)'!D:J,7,FALSE),"")</f>
        <v>Arizona Cardinals</v>
      </c>
    </row>
    <row r="5">
      <c r="A5" s="16">
        <v>1.0</v>
      </c>
      <c r="B5" s="16">
        <v>4.0</v>
      </c>
      <c r="C5" s="17" t="str">
        <f>IFERROR(VLOOKUP(B5,'Big Board (by pick)'!A:E,5,FALSE),"")</f>
        <v>Carnell Tate</v>
      </c>
      <c r="D5" s="17" t="str">
        <f>IFERROR(VLOOKUP(C5,'Big Board (by rank)'!D:F,3,FALSE),"")</f>
        <v>WR</v>
      </c>
      <c r="E5" s="17" t="str">
        <f>IFERROR(VLOOKUP(C5,'Big Board (by rank)'!D:J,2,FALSE),"")</f>
        <v>Ohio State</v>
      </c>
      <c r="F5" s="16">
        <f>IF(SUMIF('Big Board (by rank)'!D:D,C5,'Big Board (by rank)'!A:A)=0,"",SUMIF('Big Board (by rank)'!D:D,C5,'Big Board (by rank)'!A:A))</f>
        <v>9</v>
      </c>
      <c r="G5" s="18" t="str">
        <f>IFERROR(VLOOKUP(C5,'Big Board (by rank)'!D:J,7,FALSE),"")</f>
        <v>Tennessee Titans</v>
      </c>
    </row>
    <row r="6">
      <c r="A6" s="16">
        <v>1.0</v>
      </c>
      <c r="B6" s="16">
        <v>5.0</v>
      </c>
      <c r="C6" s="17" t="str">
        <f>IFERROR(VLOOKUP(B6,'Big Board (by pick)'!A:E,5,FALSE),"")</f>
        <v>Arvell Reese</v>
      </c>
      <c r="D6" s="17" t="str">
        <f>IFERROR(VLOOKUP(C6,'Big Board (by rank)'!D:F,3,FALSE),"")</f>
        <v>LB</v>
      </c>
      <c r="E6" s="17" t="str">
        <f>IFERROR(VLOOKUP(C6,'Big Board (by rank)'!D:J,2,FALSE),"")</f>
        <v>Ohio State</v>
      </c>
      <c r="F6" s="16">
        <f>IF(SUMIF('Big Board (by rank)'!D:D,C6,'Big Board (by rank)'!A:A)=0,"",SUMIF('Big Board (by rank)'!D:D,C6,'Big Board (by rank)'!A:A))</f>
        <v>2</v>
      </c>
      <c r="G6" s="18" t="str">
        <f>IFERROR(VLOOKUP(C6,'Big Board (by rank)'!D:J,7,FALSE),"")</f>
        <v>New York Giants</v>
      </c>
    </row>
    <row r="7">
      <c r="A7" s="16">
        <v>1.0</v>
      </c>
      <c r="B7" s="16">
        <v>6.0</v>
      </c>
      <c r="C7" s="17" t="str">
        <f>IFERROR(VLOOKUP(B7,'Big Board (by pick)'!A:E,5,FALSE),"")</f>
        <v>Mansoor Delane</v>
      </c>
      <c r="D7" s="17" t="str">
        <f>IFERROR(VLOOKUP(C7,'Big Board (by rank)'!D:F,3,FALSE),"")</f>
        <v>CB</v>
      </c>
      <c r="E7" s="17" t="str">
        <f>IFERROR(VLOOKUP(C7,'Big Board (by rank)'!D:J,2,FALSE),"")</f>
        <v>LSU</v>
      </c>
      <c r="F7" s="16">
        <f>IF(SUMIF('Big Board (by rank)'!D:D,C7,'Big Board (by rank)'!A:A)=0,"",SUMIF('Big Board (by rank)'!D:D,C7,'Big Board (by rank)'!A:A))</f>
        <v>10</v>
      </c>
      <c r="G7" s="18" t="str">
        <f>IFERROR(VLOOKUP(C7,'Big Board (by rank)'!D:J,7,FALSE),"")</f>
        <v>Kansas City Chiefs</v>
      </c>
    </row>
    <row r="8">
      <c r="A8" s="16">
        <v>1.0</v>
      </c>
      <c r="B8" s="16">
        <v>7.0</v>
      </c>
      <c r="C8" s="17" t="str">
        <f>IFERROR(VLOOKUP(B8,'Big Board (by pick)'!A:E,5,FALSE),"")</f>
        <v>Sonny Styles</v>
      </c>
      <c r="D8" s="17" t="str">
        <f>IFERROR(VLOOKUP(C8,'Big Board (by rank)'!D:F,3,FALSE),"")</f>
        <v>LB</v>
      </c>
      <c r="E8" s="17" t="str">
        <f>IFERROR(VLOOKUP(C8,'Big Board (by rank)'!D:J,2,FALSE),"")</f>
        <v>Ohio State</v>
      </c>
      <c r="F8" s="16">
        <f>IF(SUMIF('Big Board (by rank)'!D:D,C8,'Big Board (by rank)'!A:A)=0,"",SUMIF('Big Board (by rank)'!D:D,C8,'Big Board (by rank)'!A:A))</f>
        <v>5</v>
      </c>
      <c r="G8" s="18" t="str">
        <f>IFERROR(VLOOKUP(C8,'Big Board (by rank)'!D:J,7,FALSE),"")</f>
        <v>Washington Commanders</v>
      </c>
    </row>
    <row r="9">
      <c r="A9" s="16">
        <v>1.0</v>
      </c>
      <c r="B9" s="16">
        <v>8.0</v>
      </c>
      <c r="C9" s="17" t="str">
        <f>IFERROR(VLOOKUP(B9,'Big Board (by pick)'!A:E,5,FALSE),"")</f>
        <v>Jordyn Tyson</v>
      </c>
      <c r="D9" s="17" t="str">
        <f>IFERROR(VLOOKUP(C9,'Big Board (by rank)'!D:F,3,FALSE),"")</f>
        <v>WR</v>
      </c>
      <c r="E9" s="17" t="str">
        <f>IFERROR(VLOOKUP(C9,'Big Board (by rank)'!D:J,2,FALSE),"")</f>
        <v>Arizona State</v>
      </c>
      <c r="F9" s="16">
        <f>IF(SUMIF('Big Board (by rank)'!D:D,C9,'Big Board (by rank)'!A:A)=0,"",SUMIF('Big Board (by rank)'!D:D,C9,'Big Board (by rank)'!A:A))</f>
        <v>15</v>
      </c>
      <c r="G9" s="18" t="str">
        <f>IFERROR(VLOOKUP(C9,'Big Board (by rank)'!D:J,7,FALSE),"")</f>
        <v>New Orleans Saints</v>
      </c>
    </row>
    <row r="10">
      <c r="A10" s="16">
        <v>1.0</v>
      </c>
      <c r="B10" s="16">
        <v>9.0</v>
      </c>
      <c r="C10" s="17" t="str">
        <f>IFERROR(VLOOKUP(B10,'Big Board (by pick)'!A:E,5,FALSE),"")</f>
        <v>Spencer Fano</v>
      </c>
      <c r="D10" s="17" t="str">
        <f>IFERROR(VLOOKUP(C10,'Big Board (by rank)'!D:F,3,FALSE),"")</f>
        <v>OT</v>
      </c>
      <c r="E10" s="17" t="str">
        <f>IFERROR(VLOOKUP(C10,'Big Board (by rank)'!D:J,2,FALSE),"")</f>
        <v>Utah</v>
      </c>
      <c r="F10" s="16">
        <f>IF(SUMIF('Big Board (by rank)'!D:D,C10,'Big Board (by rank)'!A:A)=0,"",SUMIF('Big Board (by rank)'!D:D,C10,'Big Board (by rank)'!A:A))</f>
        <v>11</v>
      </c>
      <c r="G10" s="18" t="str">
        <f>IFERROR(VLOOKUP(C10,'Big Board (by rank)'!D:J,7,FALSE),"")</f>
        <v>Cleveland Browns</v>
      </c>
    </row>
    <row r="11">
      <c r="A11" s="16">
        <v>1.0</v>
      </c>
      <c r="B11" s="16">
        <v>10.0</v>
      </c>
      <c r="C11" s="17" t="str">
        <f>IFERROR(VLOOKUP(B11,'Big Board (by pick)'!A:E,5,FALSE),"")</f>
        <v>Francis Mauigoa</v>
      </c>
      <c r="D11" s="17" t="str">
        <f>IFERROR(VLOOKUP(C11,'Big Board (by rank)'!D:F,3,FALSE),"")</f>
        <v>OT</v>
      </c>
      <c r="E11" s="17" t="str">
        <f>IFERROR(VLOOKUP(C11,'Big Board (by rank)'!D:J,2,FALSE),"")</f>
        <v>Miami (FL)</v>
      </c>
      <c r="F11" s="16">
        <f>IF(SUMIF('Big Board (by rank)'!D:D,C11,'Big Board (by rank)'!A:A)=0,"",SUMIF('Big Board (by rank)'!D:D,C11,'Big Board (by rank)'!A:A))</f>
        <v>8</v>
      </c>
      <c r="G11" s="18" t="str">
        <f>IFERROR(VLOOKUP(C11,'Big Board (by rank)'!D:J,7,FALSE),"")</f>
        <v>New York Giants</v>
      </c>
    </row>
    <row r="12">
      <c r="A12" s="16">
        <v>1.0</v>
      </c>
      <c r="B12" s="16">
        <v>11.0</v>
      </c>
      <c r="C12" s="17" t="str">
        <f>IFERROR(VLOOKUP(B12,'Big Board (by pick)'!A:E,5,FALSE),"")</f>
        <v>Caleb Downs</v>
      </c>
      <c r="D12" s="17" t="str">
        <f>IFERROR(VLOOKUP(C12,'Big Board (by rank)'!D:F,3,FALSE),"")</f>
        <v>S</v>
      </c>
      <c r="E12" s="17" t="str">
        <f>IFERROR(VLOOKUP(C12,'Big Board (by rank)'!D:J,2,FALSE),"")</f>
        <v>Ohio State</v>
      </c>
      <c r="F12" s="16">
        <f>IF(SUMIF('Big Board (by rank)'!D:D,C12,'Big Board (by rank)'!A:A)=0,"",SUMIF('Big Board (by rank)'!D:D,C12,'Big Board (by rank)'!A:A))</f>
        <v>4</v>
      </c>
      <c r="G12" s="18" t="str">
        <f>IFERROR(VLOOKUP(C12,'Big Board (by rank)'!D:J,7,FALSE),"")</f>
        <v>Dallas Cowboys</v>
      </c>
    </row>
    <row r="13">
      <c r="A13" s="16">
        <v>1.0</v>
      </c>
      <c r="B13" s="16">
        <v>12.0</v>
      </c>
      <c r="C13" s="17" t="str">
        <f>IFERROR(VLOOKUP(B13,'Big Board (by pick)'!A:E,5,FALSE),"")</f>
        <v>Kadyn Proctor</v>
      </c>
      <c r="D13" s="17" t="str">
        <f>IFERROR(VLOOKUP(C13,'Big Board (by rank)'!D:F,3,FALSE),"")</f>
        <v>OT</v>
      </c>
      <c r="E13" s="17" t="str">
        <f>IFERROR(VLOOKUP(C13,'Big Board (by rank)'!D:J,2,FALSE),"")</f>
        <v>Alabama</v>
      </c>
      <c r="F13" s="16">
        <f>IF(SUMIF('Big Board (by rank)'!D:D,C13,'Big Board (by rank)'!A:A)=0,"",SUMIF('Big Board (by rank)'!D:D,C13,'Big Board (by rank)'!A:A))</f>
        <v>19</v>
      </c>
      <c r="G13" s="18" t="str">
        <f>IFERROR(VLOOKUP(C13,'Big Board (by rank)'!D:J,7,FALSE),"")</f>
        <v>Miami Dolphins</v>
      </c>
    </row>
    <row r="14">
      <c r="A14" s="16">
        <v>1.0</v>
      </c>
      <c r="B14" s="16">
        <v>13.0</v>
      </c>
      <c r="C14" s="17" t="str">
        <f>IFERROR(VLOOKUP(B14,'Big Board (by pick)'!A:E,5,FALSE),"")</f>
        <v>Ty Simpson</v>
      </c>
      <c r="D14" s="17" t="str">
        <f>IFERROR(VLOOKUP(C14,'Big Board (by rank)'!D:F,3,FALSE),"")</f>
        <v>QB</v>
      </c>
      <c r="E14" s="17" t="str">
        <f>IFERROR(VLOOKUP(C14,'Big Board (by rank)'!D:J,2,FALSE),"")</f>
        <v>Alabama</v>
      </c>
      <c r="F14" s="16">
        <f>IF(SUMIF('Big Board (by rank)'!D:D,C14,'Big Board (by rank)'!A:A)=0,"",SUMIF('Big Board (by rank)'!D:D,C14,'Big Board (by rank)'!A:A))</f>
        <v>38</v>
      </c>
      <c r="G14" s="18" t="str">
        <f>IFERROR(VLOOKUP(C14,'Big Board (by rank)'!D:J,7,FALSE),"")</f>
        <v>Los Angeles Rams</v>
      </c>
    </row>
    <row r="15">
      <c r="A15" s="16">
        <v>1.0</v>
      </c>
      <c r="B15" s="16">
        <v>14.0</v>
      </c>
      <c r="C15" s="17" t="str">
        <f>IFERROR(VLOOKUP(B15,'Big Board (by pick)'!A:E,5,FALSE),"")</f>
        <v>Olaivavega Ioane</v>
      </c>
      <c r="D15" s="17" t="str">
        <f>IFERROR(VLOOKUP(C15,'Big Board (by rank)'!D:F,3,FALSE),"")</f>
        <v>OG</v>
      </c>
      <c r="E15" s="17" t="str">
        <f>IFERROR(VLOOKUP(C15,'Big Board (by rank)'!D:J,2,FALSE),"")</f>
        <v>Penn State</v>
      </c>
      <c r="F15" s="16">
        <f>IF(SUMIF('Big Board (by rank)'!D:D,C15,'Big Board (by rank)'!A:A)=0,"",SUMIF('Big Board (by rank)'!D:D,C15,'Big Board (by rank)'!A:A))</f>
        <v>13</v>
      </c>
      <c r="G15" s="18" t="str">
        <f>IFERROR(VLOOKUP(C15,'Big Board (by rank)'!D:J,7,FALSE),"")</f>
        <v>Baltimore Ravens</v>
      </c>
    </row>
    <row r="16">
      <c r="A16" s="16">
        <v>1.0</v>
      </c>
      <c r="B16" s="16">
        <v>15.0</v>
      </c>
      <c r="C16" s="17" t="str">
        <f>IFERROR(VLOOKUP(B16,'Big Board (by pick)'!A:E,5,FALSE),"")</f>
        <v>Rueben Bain Jr.</v>
      </c>
      <c r="D16" s="17" t="str">
        <f>IFERROR(VLOOKUP(C16,'Big Board (by rank)'!D:F,3,FALSE),"")</f>
        <v>EDGE</v>
      </c>
      <c r="E16" s="17" t="str">
        <f>IFERROR(VLOOKUP(C16,'Big Board (by rank)'!D:J,2,FALSE),"")</f>
        <v>Miami (FL)</v>
      </c>
      <c r="F16" s="16">
        <f>IF(SUMIF('Big Board (by rank)'!D:D,C16,'Big Board (by rank)'!A:A)=0,"",SUMIF('Big Board (by rank)'!D:D,C16,'Big Board (by rank)'!A:A))</f>
        <v>6</v>
      </c>
      <c r="G16" s="18" t="str">
        <f>IFERROR(VLOOKUP(C16,'Big Board (by rank)'!D:J,7,FALSE),"")</f>
        <v>Tampa Bay Buccaneers</v>
      </c>
    </row>
    <row r="17">
      <c r="A17" s="16">
        <v>1.0</v>
      </c>
      <c r="B17" s="16">
        <v>16.0</v>
      </c>
      <c r="C17" s="17" t="str">
        <f>IFERROR(VLOOKUP(B17,'Big Board (by pick)'!A:E,5,FALSE),"")</f>
        <v>Kenyon Sadiq</v>
      </c>
      <c r="D17" s="17" t="str">
        <f>IFERROR(VLOOKUP(C17,'Big Board (by rank)'!D:F,3,FALSE),"")</f>
        <v>TE</v>
      </c>
      <c r="E17" s="17" t="str">
        <f>IFERROR(VLOOKUP(C17,'Big Board (by rank)'!D:J,2,FALSE),"")</f>
        <v>Oregon</v>
      </c>
      <c r="F17" s="16">
        <f>IF(SUMIF('Big Board (by rank)'!D:D,C17,'Big Board (by rank)'!A:A)=0,"",SUMIF('Big Board (by rank)'!D:D,C17,'Big Board (by rank)'!A:A))</f>
        <v>16</v>
      </c>
      <c r="G17" s="18" t="str">
        <f>IFERROR(VLOOKUP(C17,'Big Board (by rank)'!D:J,7,FALSE),"")</f>
        <v>New York Jets</v>
      </c>
    </row>
    <row r="18">
      <c r="A18" s="16">
        <v>1.0</v>
      </c>
      <c r="B18" s="16">
        <v>17.0</v>
      </c>
      <c r="C18" s="17" t="str">
        <f>IFERROR(VLOOKUP(B18,'Big Board (by pick)'!A:E,5,FALSE),"")</f>
        <v>Blake Miller</v>
      </c>
      <c r="D18" s="17" t="str">
        <f>IFERROR(VLOOKUP(C18,'Big Board (by rank)'!D:F,3,FALSE),"")</f>
        <v>OT</v>
      </c>
      <c r="E18" s="17" t="str">
        <f>IFERROR(VLOOKUP(C18,'Big Board (by rank)'!D:J,2,FALSE),"")</f>
        <v>Clemson</v>
      </c>
      <c r="F18" s="16">
        <f>IF(SUMIF('Big Board (by rank)'!D:D,C18,'Big Board (by rank)'!A:A)=0,"",SUMIF('Big Board (by rank)'!D:D,C18,'Big Board (by rank)'!A:A))</f>
        <v>31</v>
      </c>
      <c r="G18" s="18" t="str">
        <f>IFERROR(VLOOKUP(C18,'Big Board (by rank)'!D:J,7,FALSE),"")</f>
        <v>Detroit Lions</v>
      </c>
    </row>
    <row r="19">
      <c r="A19" s="16">
        <v>1.0</v>
      </c>
      <c r="B19" s="16">
        <v>18.0</v>
      </c>
      <c r="C19" s="17" t="str">
        <f>IFERROR(VLOOKUP(B19,'Big Board (by pick)'!A:E,5,FALSE),"")</f>
        <v>Caleb Banks</v>
      </c>
      <c r="D19" s="17" t="str">
        <f>IFERROR(VLOOKUP(C19,'Big Board (by rank)'!D:F,3,FALSE),"")</f>
        <v>DL1T</v>
      </c>
      <c r="E19" s="17" t="str">
        <f>IFERROR(VLOOKUP(C19,'Big Board (by rank)'!D:J,2,FALSE),"")</f>
        <v>Florida</v>
      </c>
      <c r="F19" s="16">
        <f>IF(SUMIF('Big Board (by rank)'!D:D,C19,'Big Board (by rank)'!A:A)=0,"",SUMIF('Big Board (by rank)'!D:D,C19,'Big Board (by rank)'!A:A))</f>
        <v>37</v>
      </c>
      <c r="G19" s="18" t="str">
        <f>IFERROR(VLOOKUP(C19,'Big Board (by rank)'!D:J,7,FALSE),"")</f>
        <v>Minnesota Vikings</v>
      </c>
    </row>
    <row r="20">
      <c r="A20" s="16">
        <v>1.0</v>
      </c>
      <c r="B20" s="16">
        <v>19.0</v>
      </c>
      <c r="C20" s="17" t="str">
        <f>IFERROR(VLOOKUP(B20,'Big Board (by pick)'!A:E,5,FALSE),"")</f>
        <v>Monroe Freeling</v>
      </c>
      <c r="D20" s="17" t="str">
        <f>IFERROR(VLOOKUP(C20,'Big Board (by rank)'!D:F,3,FALSE),"")</f>
        <v>OT</v>
      </c>
      <c r="E20" s="17" t="str">
        <f>IFERROR(VLOOKUP(C20,'Big Board (by rank)'!D:J,2,FALSE),"")</f>
        <v>Georgia</v>
      </c>
      <c r="F20" s="16">
        <f>IF(SUMIF('Big Board (by rank)'!D:D,C20,'Big Board (by rank)'!A:A)=0,"",SUMIF('Big Board (by rank)'!D:D,C20,'Big Board (by rank)'!A:A))</f>
        <v>18</v>
      </c>
      <c r="G20" s="18" t="str">
        <f>IFERROR(VLOOKUP(C20,'Big Board (by rank)'!D:J,7,FALSE),"")</f>
        <v>Carolina Panthers</v>
      </c>
    </row>
    <row r="21">
      <c r="A21" s="16">
        <v>1.0</v>
      </c>
      <c r="B21" s="16">
        <v>20.0</v>
      </c>
      <c r="C21" s="17" t="str">
        <f>IFERROR(VLOOKUP(B21,'Big Board (by pick)'!A:E,5,FALSE),"")</f>
        <v>Makai Lemon</v>
      </c>
      <c r="D21" s="17" t="str">
        <f>IFERROR(VLOOKUP(C21,'Big Board (by rank)'!D:F,3,FALSE),"")</f>
        <v>WR</v>
      </c>
      <c r="E21" s="17" t="str">
        <f>IFERROR(VLOOKUP(C21,'Big Board (by rank)'!D:J,2,FALSE),"")</f>
        <v>USC</v>
      </c>
      <c r="F21" s="16">
        <f>IF(SUMIF('Big Board (by rank)'!D:D,C21,'Big Board (by rank)'!A:A)=0,"",SUMIF('Big Board (by rank)'!D:D,C21,'Big Board (by rank)'!A:A))</f>
        <v>12</v>
      </c>
      <c r="G21" s="18" t="str">
        <f>IFERROR(VLOOKUP(C21,'Big Board (by rank)'!D:J,7,FALSE),"")</f>
        <v>Philadelphia Eagles</v>
      </c>
    </row>
    <row r="22">
      <c r="A22" s="16">
        <v>1.0</v>
      </c>
      <c r="B22" s="16">
        <v>21.0</v>
      </c>
      <c r="C22" s="17" t="str">
        <f>IFERROR(VLOOKUP(B22,'Big Board (by pick)'!A:E,5,FALSE),"")</f>
        <v>Max Iheanachor</v>
      </c>
      <c r="D22" s="17" t="str">
        <f>IFERROR(VLOOKUP(C22,'Big Board (by rank)'!D:F,3,FALSE),"")</f>
        <v>OT</v>
      </c>
      <c r="E22" s="17" t="str">
        <f>IFERROR(VLOOKUP(C22,'Big Board (by rank)'!D:J,2,FALSE),"")</f>
        <v>Arizona State</v>
      </c>
      <c r="F22" s="16">
        <f>IF(SUMIF('Big Board (by rank)'!D:D,C22,'Big Board (by rank)'!A:A)=0,"",SUMIF('Big Board (by rank)'!D:D,C22,'Big Board (by rank)'!A:A))</f>
        <v>33</v>
      </c>
      <c r="G22" s="18" t="str">
        <f>IFERROR(VLOOKUP(C22,'Big Board (by rank)'!D:J,7,FALSE),"")</f>
        <v>Pittsburgh Steelers</v>
      </c>
    </row>
    <row r="23">
      <c r="A23" s="16">
        <v>1.0</v>
      </c>
      <c r="B23" s="16">
        <v>22.0</v>
      </c>
      <c r="C23" s="17" t="str">
        <f>IFERROR(VLOOKUP(B23,'Big Board (by pick)'!A:E,5,FALSE),"")</f>
        <v>Akheem Mesidor</v>
      </c>
      <c r="D23" s="17" t="str">
        <f>IFERROR(VLOOKUP(C23,'Big Board (by rank)'!D:F,3,FALSE),"")</f>
        <v>EDGE</v>
      </c>
      <c r="E23" s="17" t="str">
        <f>IFERROR(VLOOKUP(C23,'Big Board (by rank)'!D:J,2,FALSE),"")</f>
        <v>Miami (FL)</v>
      </c>
      <c r="F23" s="16">
        <f>IF(SUMIF('Big Board (by rank)'!D:D,C23,'Big Board (by rank)'!A:A)=0,"",SUMIF('Big Board (by rank)'!D:D,C23,'Big Board (by rank)'!A:A))</f>
        <v>22</v>
      </c>
      <c r="G23" s="18" t="str">
        <f>IFERROR(VLOOKUP(C23,'Big Board (by rank)'!D:J,7,FALSE),"")</f>
        <v>Los Angeles Chargers</v>
      </c>
    </row>
    <row r="24">
      <c r="A24" s="16">
        <v>1.0</v>
      </c>
      <c r="B24" s="16">
        <v>23.0</v>
      </c>
      <c r="C24" s="17" t="str">
        <f>IFERROR(VLOOKUP(B24,'Big Board (by pick)'!A:E,5,FALSE),"")</f>
        <v>Malachi Lawrence</v>
      </c>
      <c r="D24" s="17" t="str">
        <f>IFERROR(VLOOKUP(C24,'Big Board (by rank)'!D:F,3,FALSE),"")</f>
        <v>EDGE</v>
      </c>
      <c r="E24" s="17" t="str">
        <f>IFERROR(VLOOKUP(C24,'Big Board (by rank)'!D:J,2,FALSE),"")</f>
        <v>UCF</v>
      </c>
      <c r="F24" s="16">
        <f>IF(SUMIF('Big Board (by rank)'!D:D,C24,'Big Board (by rank)'!A:A)=0,"",SUMIF('Big Board (by rank)'!D:D,C24,'Big Board (by rank)'!A:A))</f>
        <v>48</v>
      </c>
      <c r="G24" s="18" t="str">
        <f>IFERROR(VLOOKUP(C24,'Big Board (by rank)'!D:J,7,FALSE),"")</f>
        <v>Dallas Cowboys</v>
      </c>
    </row>
    <row r="25">
      <c r="A25" s="16">
        <v>1.0</v>
      </c>
      <c r="B25" s="16">
        <v>24.0</v>
      </c>
      <c r="C25" s="17" t="str">
        <f>IFERROR(VLOOKUP(B25,'Big Board (by pick)'!A:E,5,FALSE),"")</f>
        <v>KC Concepcion</v>
      </c>
      <c r="D25" s="17" t="str">
        <f>IFERROR(VLOOKUP(C25,'Big Board (by rank)'!D:F,3,FALSE),"")</f>
        <v>WR</v>
      </c>
      <c r="E25" s="17" t="str">
        <f>IFERROR(VLOOKUP(C25,'Big Board (by rank)'!D:J,2,FALSE),"")</f>
        <v>Texas A&amp;M</v>
      </c>
      <c r="F25" s="16">
        <f>IF(SUMIF('Big Board (by rank)'!D:D,C25,'Big Board (by rank)'!A:A)=0,"",SUMIF('Big Board (by rank)'!D:D,C25,'Big Board (by rank)'!A:A))</f>
        <v>23</v>
      </c>
      <c r="G25" s="18" t="str">
        <f>IFERROR(VLOOKUP(C25,'Big Board (by rank)'!D:J,7,FALSE),"")</f>
        <v>Cleveland Browns</v>
      </c>
    </row>
    <row r="26">
      <c r="A26" s="16">
        <v>1.0</v>
      </c>
      <c r="B26" s="16">
        <v>25.0</v>
      </c>
      <c r="C26" s="17" t="str">
        <f>IFERROR(VLOOKUP(B26,'Big Board (by pick)'!A:E,5,FALSE),"")</f>
        <v>Dillon Thieneman</v>
      </c>
      <c r="D26" s="17" t="str">
        <f>IFERROR(VLOOKUP(C26,'Big Board (by rank)'!D:F,3,FALSE),"")</f>
        <v>S</v>
      </c>
      <c r="E26" s="17" t="str">
        <f>IFERROR(VLOOKUP(C26,'Big Board (by rank)'!D:J,2,FALSE),"")</f>
        <v>Oregon</v>
      </c>
      <c r="F26" s="16">
        <f>IF(SUMIF('Big Board (by rank)'!D:D,C26,'Big Board (by rank)'!A:A)=0,"",SUMIF('Big Board (by rank)'!D:D,C26,'Big Board (by rank)'!A:A))</f>
        <v>17</v>
      </c>
      <c r="G26" s="18" t="str">
        <f>IFERROR(VLOOKUP(C26,'Big Board (by rank)'!D:J,7,FALSE),"")</f>
        <v>Chicago Bears</v>
      </c>
    </row>
    <row r="27">
      <c r="A27" s="16">
        <v>1.0</v>
      </c>
      <c r="B27" s="16">
        <v>26.0</v>
      </c>
      <c r="C27" s="17" t="str">
        <f>IFERROR(VLOOKUP(B27,'Big Board (by pick)'!A:E,5,FALSE),"")</f>
        <v>Keylan Rutledge</v>
      </c>
      <c r="D27" s="17" t="str">
        <f>IFERROR(VLOOKUP(C27,'Big Board (by rank)'!D:F,3,FALSE),"")</f>
        <v>OG</v>
      </c>
      <c r="E27" s="17" t="str">
        <f>IFERROR(VLOOKUP(C27,'Big Board (by rank)'!D:J,2,FALSE),"")</f>
        <v>Georgia Tech</v>
      </c>
      <c r="F27" s="16">
        <f>IF(SUMIF('Big Board (by rank)'!D:D,C27,'Big Board (by rank)'!A:A)=0,"",SUMIF('Big Board (by rank)'!D:D,C27,'Big Board (by rank)'!A:A))</f>
        <v>59</v>
      </c>
      <c r="G27" s="18" t="str">
        <f>IFERROR(VLOOKUP(C27,'Big Board (by rank)'!D:J,7,FALSE),"")</f>
        <v>Houston Texans</v>
      </c>
    </row>
    <row r="28">
      <c r="A28" s="16">
        <v>1.0</v>
      </c>
      <c r="B28" s="16">
        <v>27.0</v>
      </c>
      <c r="C28" s="17" t="str">
        <f>IFERROR(VLOOKUP(B28,'Big Board (by pick)'!A:E,5,FALSE),"")</f>
        <v>Chris Johnson</v>
      </c>
      <c r="D28" s="17" t="str">
        <f>IFERROR(VLOOKUP(C28,'Big Board (by rank)'!D:F,3,FALSE),"")</f>
        <v>CB</v>
      </c>
      <c r="E28" s="17" t="str">
        <f>IFERROR(VLOOKUP(C28,'Big Board (by rank)'!D:J,2,FALSE),"")</f>
        <v>San Diego State</v>
      </c>
      <c r="F28" s="16">
        <f>IF(SUMIF('Big Board (by rank)'!D:D,C28,'Big Board (by rank)'!A:A)=0,"",SUMIF('Big Board (by rank)'!D:D,C28,'Big Board (by rank)'!A:A))</f>
        <v>34</v>
      </c>
      <c r="G28" s="18" t="str">
        <f>IFERROR(VLOOKUP(C28,'Big Board (by rank)'!D:J,7,FALSE),"")</f>
        <v>Miami Dolphins</v>
      </c>
    </row>
    <row r="29">
      <c r="A29" s="16">
        <v>1.0</v>
      </c>
      <c r="B29" s="16">
        <v>28.0</v>
      </c>
      <c r="C29" s="17" t="str">
        <f>IFERROR(VLOOKUP(B29,'Big Board (by pick)'!A:E,5,FALSE),"")</f>
        <v>Caleb Lomu</v>
      </c>
      <c r="D29" s="17" t="str">
        <f>IFERROR(VLOOKUP(C29,'Big Board (by rank)'!D:F,3,FALSE),"")</f>
        <v>OT</v>
      </c>
      <c r="E29" s="17" t="str">
        <f>IFERROR(VLOOKUP(C29,'Big Board (by rank)'!D:J,2,FALSE),"")</f>
        <v>Utah</v>
      </c>
      <c r="F29" s="16">
        <f>IF(SUMIF('Big Board (by rank)'!D:D,C29,'Big Board (by rank)'!A:A)=0,"",SUMIF('Big Board (by rank)'!D:D,C29,'Big Board (by rank)'!A:A))</f>
        <v>28</v>
      </c>
      <c r="G29" s="18" t="str">
        <f>IFERROR(VLOOKUP(C29,'Big Board (by rank)'!D:J,7,FALSE),"")</f>
        <v>New England Patriots</v>
      </c>
    </row>
    <row r="30">
      <c r="A30" s="16">
        <v>1.0</v>
      </c>
      <c r="B30" s="16">
        <v>29.0</v>
      </c>
      <c r="C30" s="17" t="str">
        <f>IFERROR(VLOOKUP(B30,'Big Board (by pick)'!A:E,5,FALSE),"")</f>
        <v>Peter Woods</v>
      </c>
      <c r="D30" s="17" t="str">
        <f>IFERROR(VLOOKUP(C30,'Big Board (by rank)'!D:F,3,FALSE),"")</f>
        <v>DL3T</v>
      </c>
      <c r="E30" s="17" t="str">
        <f>IFERROR(VLOOKUP(C30,'Big Board (by rank)'!D:J,2,FALSE),"")</f>
        <v>Clemson</v>
      </c>
      <c r="F30" s="16">
        <f>IF(SUMIF('Big Board (by rank)'!D:D,C30,'Big Board (by rank)'!A:A)=0,"",SUMIF('Big Board (by rank)'!D:D,C30,'Big Board (by rank)'!A:A))</f>
        <v>26</v>
      </c>
      <c r="G30" s="18" t="str">
        <f>IFERROR(VLOOKUP(C30,'Big Board (by rank)'!D:J,7,FALSE),"")</f>
        <v>Kansas City Chiefs</v>
      </c>
    </row>
    <row r="31">
      <c r="A31" s="16">
        <v>1.0</v>
      </c>
      <c r="B31" s="16">
        <v>30.0</v>
      </c>
      <c r="C31" s="17" t="str">
        <f>IFERROR(VLOOKUP(B31,'Big Board (by pick)'!A:E,5,FALSE),"")</f>
        <v>Omar Cooper Jr.</v>
      </c>
      <c r="D31" s="17" t="str">
        <f>IFERROR(VLOOKUP(C31,'Big Board (by rank)'!D:F,3,FALSE),"")</f>
        <v>WR</v>
      </c>
      <c r="E31" s="17" t="str">
        <f>IFERROR(VLOOKUP(C31,'Big Board (by rank)'!D:J,2,FALSE),"")</f>
        <v>Indiana</v>
      </c>
      <c r="F31" s="16">
        <f>IF(SUMIF('Big Board (by rank)'!D:D,C31,'Big Board (by rank)'!A:A)=0,"",SUMIF('Big Board (by rank)'!D:D,C31,'Big Board (by rank)'!A:A))</f>
        <v>25</v>
      </c>
      <c r="G31" s="18" t="str">
        <f>IFERROR(VLOOKUP(C31,'Big Board (by rank)'!D:J,7,FALSE),"")</f>
        <v>New York Jets</v>
      </c>
    </row>
    <row r="32">
      <c r="A32" s="16">
        <v>1.0</v>
      </c>
      <c r="B32" s="16">
        <v>31.0</v>
      </c>
      <c r="C32" s="17" t="str">
        <f>IFERROR(VLOOKUP(B32,'Big Board (by pick)'!A:E,5,FALSE),"")</f>
        <v>Keldric Faulk</v>
      </c>
      <c r="D32" s="17" t="str">
        <f>IFERROR(VLOOKUP(C32,'Big Board (by rank)'!D:F,3,FALSE),"")</f>
        <v>EDGE</v>
      </c>
      <c r="E32" s="17" t="str">
        <f>IFERROR(VLOOKUP(C32,'Big Board (by rank)'!D:J,2,FALSE),"")</f>
        <v>Auburn</v>
      </c>
      <c r="F32" s="16">
        <f>IF(SUMIF('Big Board (by rank)'!D:D,C32,'Big Board (by rank)'!A:A)=0,"",SUMIF('Big Board (by rank)'!D:D,C32,'Big Board (by rank)'!A:A))</f>
        <v>20</v>
      </c>
      <c r="G32" s="18" t="str">
        <f>IFERROR(VLOOKUP(C32,'Big Board (by rank)'!D:J,7,FALSE),"")</f>
        <v>Tennessee Titans</v>
      </c>
    </row>
    <row r="33">
      <c r="A33" s="16">
        <v>2.0</v>
      </c>
      <c r="B33" s="16">
        <v>32.0</v>
      </c>
      <c r="C33" s="17" t="str">
        <f>IFERROR(VLOOKUP(B33,'Big Board (by pick)'!A:E,5,FALSE),"")</f>
        <v>Jadarian Price</v>
      </c>
      <c r="D33" s="17" t="str">
        <f>IFERROR(VLOOKUP(C33,'Big Board (by rank)'!D:F,3,FALSE),"")</f>
        <v>RB</v>
      </c>
      <c r="E33" s="17" t="str">
        <f>IFERROR(VLOOKUP(C33,'Big Board (by rank)'!D:J,2,FALSE),"")</f>
        <v>Notre Dame</v>
      </c>
      <c r="F33" s="16">
        <f>IF(SUMIF('Big Board (by rank)'!D:D,C33,'Big Board (by rank)'!A:A)=0,"",SUMIF('Big Board (by rank)'!D:D,C33,'Big Board (by rank)'!A:A))</f>
        <v>53</v>
      </c>
      <c r="G33" s="18" t="str">
        <f>IFERROR(VLOOKUP(C33,'Big Board (by rank)'!D:J,7,FALSE),"")</f>
        <v>Seattle Seahawks</v>
      </c>
    </row>
    <row r="34">
      <c r="A34" s="16">
        <v>2.0</v>
      </c>
      <c r="B34" s="16">
        <v>33.0</v>
      </c>
      <c r="C34" s="17" t="str">
        <f>IFERROR(VLOOKUP(B34,'Big Board (by pick)'!A:E,5,FALSE),"")</f>
        <v>De'Zhaun Stribling</v>
      </c>
      <c r="D34" s="17" t="str">
        <f>IFERROR(VLOOKUP(C34,'Big Board (by rank)'!D:F,3,FALSE),"")</f>
        <v>WR</v>
      </c>
      <c r="E34" s="17" t="str">
        <f>IFERROR(VLOOKUP(C34,'Big Board (by rank)'!D:J,2,FALSE),"")</f>
        <v>Ole Miss</v>
      </c>
      <c r="F34" s="16">
        <f>IF(SUMIF('Big Board (by rank)'!D:D,C34,'Big Board (by rank)'!A:A)=0,"",SUMIF('Big Board (by rank)'!D:D,C34,'Big Board (by rank)'!A:A))</f>
        <v>99</v>
      </c>
      <c r="G34" s="18" t="str">
        <f>IFERROR(VLOOKUP(C34,'Big Board (by rank)'!D:J,7,FALSE),"")</f>
        <v>San Francisco 49ers</v>
      </c>
    </row>
    <row r="35">
      <c r="A35" s="16">
        <v>2.0</v>
      </c>
      <c r="B35" s="16">
        <v>34.0</v>
      </c>
      <c r="C35" s="17" t="str">
        <f>IFERROR(VLOOKUP(B35,'Big Board (by pick)'!A:E,5,FALSE),"")</f>
        <v>Chase Bisontis</v>
      </c>
      <c r="D35" s="17" t="str">
        <f>IFERROR(VLOOKUP(C35,'Big Board (by rank)'!D:F,3,FALSE),"")</f>
        <v>OG</v>
      </c>
      <c r="E35" s="17" t="str">
        <f>IFERROR(VLOOKUP(C35,'Big Board (by rank)'!D:J,2,FALSE),"")</f>
        <v>Texas A&amp;M</v>
      </c>
      <c r="F35" s="16">
        <f>IF(SUMIF('Big Board (by rank)'!D:D,C35,'Big Board (by rank)'!A:A)=0,"",SUMIF('Big Board (by rank)'!D:D,C35,'Big Board (by rank)'!A:A))</f>
        <v>46</v>
      </c>
      <c r="G35" s="18" t="str">
        <f>IFERROR(VLOOKUP(C35,'Big Board (by rank)'!D:J,7,FALSE),"")</f>
        <v>Arizona Cardinals</v>
      </c>
    </row>
    <row r="36">
      <c r="A36" s="16">
        <v>2.0</v>
      </c>
      <c r="B36" s="16">
        <v>35.0</v>
      </c>
      <c r="C36" s="17" t="str">
        <f>IFERROR(VLOOKUP(B36,'Big Board (by pick)'!A:E,5,FALSE),"")</f>
        <v>T.J. Parker</v>
      </c>
      <c r="D36" s="17" t="str">
        <f>IFERROR(VLOOKUP(C36,'Big Board (by rank)'!D:F,3,FALSE),"")</f>
        <v>EDGE</v>
      </c>
      <c r="E36" s="17" t="str">
        <f>IFERROR(VLOOKUP(C36,'Big Board (by rank)'!D:J,2,FALSE),"")</f>
        <v>Clemson</v>
      </c>
      <c r="F36" s="16">
        <f>IF(SUMIF('Big Board (by rank)'!D:D,C36,'Big Board (by rank)'!A:A)=0,"",SUMIF('Big Board (by rank)'!D:D,C36,'Big Board (by rank)'!A:A))</f>
        <v>30</v>
      </c>
      <c r="G36" s="18" t="str">
        <f>IFERROR(VLOOKUP(C36,'Big Board (by rank)'!D:J,7,FALSE),"")</f>
        <v>Buffalo Bills</v>
      </c>
    </row>
    <row r="37">
      <c r="A37" s="16">
        <v>2.0</v>
      </c>
      <c r="B37" s="16">
        <v>36.0</v>
      </c>
      <c r="C37" s="17" t="str">
        <f>IFERROR(VLOOKUP(B37,'Big Board (by pick)'!A:E,5,FALSE),"")</f>
        <v>Kayden McDonald</v>
      </c>
      <c r="D37" s="17" t="str">
        <f>IFERROR(VLOOKUP(C37,'Big Board (by rank)'!D:F,3,FALSE),"")</f>
        <v>DL1T</v>
      </c>
      <c r="E37" s="17" t="str">
        <f>IFERROR(VLOOKUP(C37,'Big Board (by rank)'!D:J,2,FALSE),"")</f>
        <v>Ohio State</v>
      </c>
      <c r="F37" s="16">
        <f>IF(SUMIF('Big Board (by rank)'!D:D,C37,'Big Board (by rank)'!A:A)=0,"",SUMIF('Big Board (by rank)'!D:D,C37,'Big Board (by rank)'!A:A))</f>
        <v>29</v>
      </c>
      <c r="G37" s="18" t="str">
        <f>IFERROR(VLOOKUP(C37,'Big Board (by rank)'!D:J,7,FALSE),"")</f>
        <v>Houston Texans</v>
      </c>
    </row>
    <row r="38">
      <c r="A38" s="16">
        <v>2.0</v>
      </c>
      <c r="B38" s="16">
        <v>37.0</v>
      </c>
      <c r="C38" s="17" t="str">
        <f>IFERROR(VLOOKUP(B38,'Big Board (by pick)'!A:E,5,FALSE),"")</f>
        <v>Colton Hood</v>
      </c>
      <c r="D38" s="17" t="str">
        <f>IFERROR(VLOOKUP(C38,'Big Board (by rank)'!D:F,3,FALSE),"")</f>
        <v>CB</v>
      </c>
      <c r="E38" s="17" t="str">
        <f>IFERROR(VLOOKUP(C38,'Big Board (by rank)'!D:J,2,FALSE),"")</f>
        <v>Tennessee</v>
      </c>
      <c r="F38" s="16">
        <f>IF(SUMIF('Big Board (by rank)'!D:D,C38,'Big Board (by rank)'!A:A)=0,"",SUMIF('Big Board (by rank)'!D:D,C38,'Big Board (by rank)'!A:A))</f>
        <v>32</v>
      </c>
      <c r="G38" s="18" t="str">
        <f>IFERROR(VLOOKUP(C38,'Big Board (by rank)'!D:J,7,FALSE),"")</f>
        <v>New York Giants</v>
      </c>
    </row>
    <row r="39">
      <c r="A39" s="16">
        <v>2.0</v>
      </c>
      <c r="B39" s="16">
        <v>38.0</v>
      </c>
      <c r="C39" s="17" t="str">
        <f>IFERROR(VLOOKUP(B39,'Big Board (by pick)'!A:E,5,FALSE),"")</f>
        <v>Treydan Stukes</v>
      </c>
      <c r="D39" s="17" t="str">
        <f>IFERROR(VLOOKUP(C39,'Big Board (by rank)'!D:F,3,FALSE),"")</f>
        <v>CB</v>
      </c>
      <c r="E39" s="17" t="str">
        <f>IFERROR(VLOOKUP(C39,'Big Board (by rank)'!D:J,2,FALSE),"")</f>
        <v>Arizona</v>
      </c>
      <c r="F39" s="16">
        <f>IF(SUMIF('Big Board (by rank)'!D:D,C39,'Big Board (by rank)'!A:A)=0,"",SUMIF('Big Board (by rank)'!D:D,C39,'Big Board (by rank)'!A:A))</f>
        <v>60</v>
      </c>
      <c r="G39" s="18" t="str">
        <f>IFERROR(VLOOKUP(C39,'Big Board (by rank)'!D:J,7,FALSE),"")</f>
        <v>Las Vegas Raiders</v>
      </c>
    </row>
    <row r="40">
      <c r="A40" s="16">
        <v>2.0</v>
      </c>
      <c r="B40" s="16">
        <v>39.0</v>
      </c>
      <c r="C40" s="17" t="str">
        <f>IFERROR(VLOOKUP(B40,'Big Board (by pick)'!A:E,5,FALSE),"")</f>
        <v>Denzel Boston</v>
      </c>
      <c r="D40" s="17" t="str">
        <f>IFERROR(VLOOKUP(C40,'Big Board (by rank)'!D:F,3,FALSE),"")</f>
        <v>WR</v>
      </c>
      <c r="E40" s="17" t="str">
        <f>IFERROR(VLOOKUP(C40,'Big Board (by rank)'!D:J,2,FALSE),"")</f>
        <v>Washington</v>
      </c>
      <c r="F40" s="16">
        <f>IF(SUMIF('Big Board (by rank)'!D:D,C40,'Big Board (by rank)'!A:A)=0,"",SUMIF('Big Board (by rank)'!D:D,C40,'Big Board (by rank)'!A:A))</f>
        <v>27</v>
      </c>
      <c r="G40" s="18" t="str">
        <f>IFERROR(VLOOKUP(C40,'Big Board (by rank)'!D:J,7,FALSE),"")</f>
        <v>Cleveland Browns</v>
      </c>
    </row>
    <row r="41">
      <c r="A41" s="16">
        <v>2.0</v>
      </c>
      <c r="B41" s="16">
        <v>40.0</v>
      </c>
      <c r="C41" s="17" t="str">
        <f>IFERROR(VLOOKUP(B41,'Big Board (by pick)'!A:E,5,FALSE),"")</f>
        <v>R Mason Thomas</v>
      </c>
      <c r="D41" s="17" t="str">
        <f>IFERROR(VLOOKUP(C41,'Big Board (by rank)'!D:F,3,FALSE),"")</f>
        <v>EDGE</v>
      </c>
      <c r="E41" s="17" t="str">
        <f>IFERROR(VLOOKUP(C41,'Big Board (by rank)'!D:J,2,FALSE),"")</f>
        <v>Oklahoma</v>
      </c>
      <c r="F41" s="16">
        <f>IF(SUMIF('Big Board (by rank)'!D:D,C41,'Big Board (by rank)'!A:A)=0,"",SUMIF('Big Board (by rank)'!D:D,C41,'Big Board (by rank)'!A:A))</f>
        <v>47</v>
      </c>
      <c r="G41" s="18" t="str">
        <f>IFERROR(VLOOKUP(C41,'Big Board (by rank)'!D:J,7,FALSE),"")</f>
        <v>Kansas City Chiefs</v>
      </c>
    </row>
    <row r="42">
      <c r="A42" s="16">
        <v>2.0</v>
      </c>
      <c r="B42" s="16">
        <v>41.0</v>
      </c>
      <c r="C42" s="17" t="str">
        <f>IFERROR(VLOOKUP(B42,'Big Board (by pick)'!A:E,5,FALSE),"")</f>
        <v>Cashius Howell</v>
      </c>
      <c r="D42" s="17" t="str">
        <f>IFERROR(VLOOKUP(C42,'Big Board (by rank)'!D:F,3,FALSE),"")</f>
        <v>EDGE</v>
      </c>
      <c r="E42" s="17" t="str">
        <f>IFERROR(VLOOKUP(C42,'Big Board (by rank)'!D:J,2,FALSE),"")</f>
        <v>Texas A&amp;M</v>
      </c>
      <c r="F42" s="16">
        <f>IF(SUMIF('Big Board (by rank)'!D:D,C42,'Big Board (by rank)'!A:A)=0,"",SUMIF('Big Board (by rank)'!D:D,C42,'Big Board (by rank)'!A:A))</f>
        <v>36</v>
      </c>
      <c r="G42" s="18" t="str">
        <f>IFERROR(VLOOKUP(C42,'Big Board (by rank)'!D:J,7,FALSE),"")</f>
        <v>Cincinnati Bengals</v>
      </c>
    </row>
    <row r="43">
      <c r="A43" s="16">
        <v>2.0</v>
      </c>
      <c r="B43" s="16">
        <v>42.0</v>
      </c>
      <c r="C43" s="17" t="str">
        <f>IFERROR(VLOOKUP(B43,'Big Board (by pick)'!A:E,5,FALSE),"")</f>
        <v>Christen Miller</v>
      </c>
      <c r="D43" s="17" t="str">
        <f>IFERROR(VLOOKUP(C43,'Big Board (by rank)'!D:F,3,FALSE),"")</f>
        <v>DL1T</v>
      </c>
      <c r="E43" s="17" t="str">
        <f>IFERROR(VLOOKUP(C43,'Big Board (by rank)'!D:J,2,FALSE),"")</f>
        <v>Georgia</v>
      </c>
      <c r="F43" s="16">
        <f>IF(SUMIF('Big Board (by rank)'!D:D,C43,'Big Board (by rank)'!A:A)=0,"",SUMIF('Big Board (by rank)'!D:D,C43,'Big Board (by rank)'!A:A))</f>
        <v>42</v>
      </c>
      <c r="G43" s="18" t="str">
        <f>IFERROR(VLOOKUP(C43,'Big Board (by rank)'!D:J,7,FALSE),"")</f>
        <v>New Orleans Saints</v>
      </c>
    </row>
    <row r="44">
      <c r="A44" s="16">
        <v>2.0</v>
      </c>
      <c r="B44" s="16">
        <v>43.0</v>
      </c>
      <c r="C44" s="17" t="str">
        <f>IFERROR(VLOOKUP(B44,'Big Board (by pick)'!A:E,5,FALSE),"")</f>
        <v>Jacob Rodriguez</v>
      </c>
      <c r="D44" s="17" t="str">
        <f>IFERROR(VLOOKUP(C44,'Big Board (by rank)'!D:F,3,FALSE),"")</f>
        <v>LB</v>
      </c>
      <c r="E44" s="17" t="str">
        <f>IFERROR(VLOOKUP(C44,'Big Board (by rank)'!D:J,2,FALSE),"")</f>
        <v>Texas Tech</v>
      </c>
      <c r="F44" s="16">
        <f>IF(SUMIF('Big Board (by rank)'!D:D,C44,'Big Board (by rank)'!A:A)=0,"",SUMIF('Big Board (by rank)'!D:D,C44,'Big Board (by rank)'!A:A))</f>
        <v>43</v>
      </c>
      <c r="G44" s="18" t="str">
        <f>IFERROR(VLOOKUP(C44,'Big Board (by rank)'!D:J,7,FALSE),"")</f>
        <v>Miami Dolphins</v>
      </c>
    </row>
    <row r="45">
      <c r="A45" s="16">
        <v>2.0</v>
      </c>
      <c r="B45" s="16">
        <v>44.0</v>
      </c>
      <c r="C45" s="17" t="str">
        <f>IFERROR(VLOOKUP(B45,'Big Board (by pick)'!A:E,5,FALSE),"")</f>
        <v>Derrick Moore</v>
      </c>
      <c r="D45" s="17" t="str">
        <f>IFERROR(VLOOKUP(C45,'Big Board (by rank)'!D:F,3,FALSE),"")</f>
        <v>EDGE</v>
      </c>
      <c r="E45" s="17" t="str">
        <f>IFERROR(VLOOKUP(C45,'Big Board (by rank)'!D:J,2,FALSE),"")</f>
        <v>Michigan</v>
      </c>
      <c r="F45" s="16">
        <f>IF(SUMIF('Big Board (by rank)'!D:D,C45,'Big Board (by rank)'!A:A)=0,"",SUMIF('Big Board (by rank)'!D:D,C45,'Big Board (by rank)'!A:A))</f>
        <v>63</v>
      </c>
      <c r="G45" s="18" t="str">
        <f>IFERROR(VLOOKUP(C45,'Big Board (by rank)'!D:J,7,FALSE),"")</f>
        <v>Detroit Lions</v>
      </c>
    </row>
    <row r="46">
      <c r="A46" s="16">
        <v>2.0</v>
      </c>
      <c r="B46" s="16">
        <v>45.0</v>
      </c>
      <c r="C46" s="17" t="str">
        <f>IFERROR(VLOOKUP(B46,'Big Board (by pick)'!A:E,5,FALSE),"")</f>
        <v>Zion Young</v>
      </c>
      <c r="D46" s="17" t="str">
        <f>IFERROR(VLOOKUP(C46,'Big Board (by rank)'!D:F,3,FALSE),"")</f>
        <v>EDGE</v>
      </c>
      <c r="E46" s="17" t="str">
        <f>IFERROR(VLOOKUP(C46,'Big Board (by rank)'!D:J,2,FALSE),"")</f>
        <v>Missouri</v>
      </c>
      <c r="F46" s="16">
        <f>IF(SUMIF('Big Board (by rank)'!D:D,C46,'Big Board (by rank)'!A:A)=0,"",SUMIF('Big Board (by rank)'!D:D,C46,'Big Board (by rank)'!A:A))</f>
        <v>39</v>
      </c>
      <c r="G46" s="18" t="str">
        <f>IFERROR(VLOOKUP(C46,'Big Board (by rank)'!D:J,7,FALSE),"")</f>
        <v>Baltimore Ravens</v>
      </c>
    </row>
    <row r="47">
      <c r="A47" s="16">
        <v>2.0</v>
      </c>
      <c r="B47" s="16">
        <v>46.0</v>
      </c>
      <c r="C47" s="17" t="str">
        <f>IFERROR(VLOOKUP(B47,'Big Board (by pick)'!A:E,5,FALSE),"")</f>
        <v>Josiah Trotter</v>
      </c>
      <c r="D47" s="17" t="str">
        <f>IFERROR(VLOOKUP(C47,'Big Board (by rank)'!D:F,3,FALSE),"")</f>
        <v>LB</v>
      </c>
      <c r="E47" s="17" t="str">
        <f>IFERROR(VLOOKUP(C47,'Big Board (by rank)'!D:J,2,FALSE),"")</f>
        <v>Missouri</v>
      </c>
      <c r="F47" s="16">
        <f>IF(SUMIF('Big Board (by rank)'!D:D,C47,'Big Board (by rank)'!A:A)=0,"",SUMIF('Big Board (by rank)'!D:D,C47,'Big Board (by rank)'!A:A))</f>
        <v>62</v>
      </c>
      <c r="G47" s="18" t="str">
        <f>IFERROR(VLOOKUP(C47,'Big Board (by rank)'!D:J,7,FALSE),"")</f>
        <v>Tampa Bay Buccaneers</v>
      </c>
    </row>
    <row r="48">
      <c r="A48" s="16">
        <v>2.0</v>
      </c>
      <c r="B48" s="16">
        <v>47.0</v>
      </c>
      <c r="C48" s="17" t="str">
        <f>IFERROR(VLOOKUP(B48,'Big Board (by pick)'!A:E,5,FALSE),"")</f>
        <v>Germie Bernard</v>
      </c>
      <c r="D48" s="17" t="str">
        <f>IFERROR(VLOOKUP(C48,'Big Board (by rank)'!D:F,3,FALSE),"")</f>
        <v>WR</v>
      </c>
      <c r="E48" s="17" t="str">
        <f>IFERROR(VLOOKUP(C48,'Big Board (by rank)'!D:J,2,FALSE),"")</f>
        <v>Alabama</v>
      </c>
      <c r="F48" s="16">
        <f>IF(SUMIF('Big Board (by rank)'!D:D,C48,'Big Board (by rank)'!A:A)=0,"",SUMIF('Big Board (by rank)'!D:D,C48,'Big Board (by rank)'!A:A))</f>
        <v>51</v>
      </c>
      <c r="G48" s="18" t="str">
        <f>IFERROR(VLOOKUP(C48,'Big Board (by rank)'!D:J,7,FALSE),"")</f>
        <v>Pittsburgh Steelers</v>
      </c>
    </row>
    <row r="49">
      <c r="A49" s="16">
        <v>2.0</v>
      </c>
      <c r="B49" s="16">
        <v>48.0</v>
      </c>
      <c r="C49" s="17" t="str">
        <f>IFERROR(VLOOKUP(B49,'Big Board (by pick)'!A:E,5,FALSE),"")</f>
        <v>Avieon Terrell</v>
      </c>
      <c r="D49" s="17" t="str">
        <f>IFERROR(VLOOKUP(C49,'Big Board (by rank)'!D:F,3,FALSE),"")</f>
        <v>CB</v>
      </c>
      <c r="E49" s="17" t="str">
        <f>IFERROR(VLOOKUP(C49,'Big Board (by rank)'!D:J,2,FALSE),"")</f>
        <v>Clemson</v>
      </c>
      <c r="F49" s="16">
        <f>IF(SUMIF('Big Board (by rank)'!D:D,C49,'Big Board (by rank)'!A:A)=0,"",SUMIF('Big Board (by rank)'!D:D,C49,'Big Board (by rank)'!A:A))</f>
        <v>21</v>
      </c>
      <c r="G49" s="18" t="str">
        <f>IFERROR(VLOOKUP(C49,'Big Board (by rank)'!D:J,7,FALSE),"")</f>
        <v>Atlanta Falcons</v>
      </c>
    </row>
    <row r="50">
      <c r="A50" s="16">
        <v>2.0</v>
      </c>
      <c r="B50" s="16">
        <v>49.0</v>
      </c>
      <c r="C50" s="17" t="str">
        <f>IFERROR(VLOOKUP(B50,'Big Board (by pick)'!A:E,5,FALSE),"")</f>
        <v>Lee Hunter</v>
      </c>
      <c r="D50" s="17" t="str">
        <f>IFERROR(VLOOKUP(C50,'Big Board (by rank)'!D:F,3,FALSE),"")</f>
        <v>DL1T</v>
      </c>
      <c r="E50" s="17" t="str">
        <f>IFERROR(VLOOKUP(C50,'Big Board (by rank)'!D:J,2,FALSE),"")</f>
        <v>Texas Tech</v>
      </c>
      <c r="F50" s="16">
        <f>IF(SUMIF('Big Board (by rank)'!D:D,C50,'Big Board (by rank)'!A:A)=0,"",SUMIF('Big Board (by rank)'!D:D,C50,'Big Board (by rank)'!A:A))</f>
        <v>45</v>
      </c>
      <c r="G50" s="18" t="str">
        <f>IFERROR(VLOOKUP(C50,'Big Board (by rank)'!D:J,7,FALSE),"")</f>
        <v>Carolina Panthers</v>
      </c>
    </row>
    <row r="51">
      <c r="A51" s="16">
        <v>2.0</v>
      </c>
      <c r="B51" s="16">
        <v>50.0</v>
      </c>
      <c r="C51" s="17" t="str">
        <f>IFERROR(VLOOKUP(B51,'Big Board (by pick)'!A:E,5,FALSE),"")</f>
        <v>D'Angelo Ponds</v>
      </c>
      <c r="D51" s="17" t="str">
        <f>IFERROR(VLOOKUP(C51,'Big Board (by rank)'!D:F,3,FALSE),"")</f>
        <v>CB</v>
      </c>
      <c r="E51" s="17" t="str">
        <f>IFERROR(VLOOKUP(C51,'Big Board (by rank)'!D:J,2,FALSE),"")</f>
        <v>Indiana</v>
      </c>
      <c r="F51" s="16">
        <f>IF(SUMIF('Big Board (by rank)'!D:D,C51,'Big Board (by rank)'!A:A)=0,"",SUMIF('Big Board (by rank)'!D:D,C51,'Big Board (by rank)'!A:A))</f>
        <v>40</v>
      </c>
      <c r="G51" s="18" t="str">
        <f>IFERROR(VLOOKUP(C51,'Big Board (by rank)'!D:J,7,FALSE),"")</f>
        <v>New York Jets</v>
      </c>
    </row>
    <row r="52">
      <c r="A52" s="16">
        <v>2.0</v>
      </c>
      <c r="B52" s="16">
        <v>51.0</v>
      </c>
      <c r="C52" s="17" t="str">
        <f>IFERROR(VLOOKUP(B52,'Big Board (by pick)'!A:E,5,FALSE),"")</f>
        <v>Jake Golday</v>
      </c>
      <c r="D52" s="17" t="str">
        <f>IFERROR(VLOOKUP(C52,'Big Board (by rank)'!D:F,3,FALSE),"")</f>
        <v>LB</v>
      </c>
      <c r="E52" s="17" t="str">
        <f>IFERROR(VLOOKUP(C52,'Big Board (by rank)'!D:J,2,FALSE),"")</f>
        <v>Cincinnati</v>
      </c>
      <c r="F52" s="16">
        <f>IF(SUMIF('Big Board (by rank)'!D:D,C52,'Big Board (by rank)'!A:A)=0,"",SUMIF('Big Board (by rank)'!D:D,C52,'Big Board (by rank)'!A:A))</f>
        <v>52</v>
      </c>
      <c r="G52" s="18" t="str">
        <f>IFERROR(VLOOKUP(C52,'Big Board (by rank)'!D:J,7,FALSE),"")</f>
        <v>Minnesota Vikings</v>
      </c>
    </row>
    <row r="53">
      <c r="A53" s="16">
        <v>2.0</v>
      </c>
      <c r="B53" s="16">
        <v>52.0</v>
      </c>
      <c r="C53" s="17" t="str">
        <f>IFERROR(VLOOKUP(B53,'Big Board (by pick)'!A:E,5,FALSE),"")</f>
        <v>Brandon Cisse</v>
      </c>
      <c r="D53" s="17" t="str">
        <f>IFERROR(VLOOKUP(C53,'Big Board (by rank)'!D:F,3,FALSE),"")</f>
        <v>CB</v>
      </c>
      <c r="E53" s="17" t="str">
        <f>IFERROR(VLOOKUP(C53,'Big Board (by rank)'!D:J,2,FALSE),"")</f>
        <v>South Carolina</v>
      </c>
      <c r="F53" s="16">
        <f>IF(SUMIF('Big Board (by rank)'!D:D,C53,'Big Board (by rank)'!A:A)=0,"",SUMIF('Big Board (by rank)'!D:D,C53,'Big Board (by rank)'!A:A))</f>
        <v>44</v>
      </c>
      <c r="G53" s="18" t="str">
        <f>IFERROR(VLOOKUP(C53,'Big Board (by rank)'!D:J,7,FALSE),"")</f>
        <v>Green Bay Packers</v>
      </c>
    </row>
    <row r="54">
      <c r="A54" s="16">
        <v>2.0</v>
      </c>
      <c r="B54" s="16">
        <v>53.0</v>
      </c>
      <c r="C54" s="17" t="str">
        <f>IFERROR(VLOOKUP(B54,'Big Board (by pick)'!A:E,5,FALSE),"")</f>
        <v>CJ Allen</v>
      </c>
      <c r="D54" s="17" t="str">
        <f>IFERROR(VLOOKUP(C54,'Big Board (by rank)'!D:F,3,FALSE),"")</f>
        <v>LB</v>
      </c>
      <c r="E54" s="17" t="str">
        <f>IFERROR(VLOOKUP(C54,'Big Board (by rank)'!D:J,2,FALSE),"")</f>
        <v>Georgia</v>
      </c>
      <c r="F54" s="16">
        <f>IF(SUMIF('Big Board (by rank)'!D:D,C54,'Big Board (by rank)'!A:A)=0,"",SUMIF('Big Board (by rank)'!D:D,C54,'Big Board (by rank)'!A:A))</f>
        <v>35</v>
      </c>
      <c r="G54" s="18" t="str">
        <f>IFERROR(VLOOKUP(C54,'Big Board (by rank)'!D:J,7,FALSE),"")</f>
        <v>Indianapolis Colts</v>
      </c>
    </row>
    <row r="55">
      <c r="A55" s="16">
        <v>2.0</v>
      </c>
      <c r="B55" s="16">
        <v>54.0</v>
      </c>
      <c r="C55" s="17" t="str">
        <f>IFERROR(VLOOKUP(B55,'Big Board (by pick)'!A:E,5,FALSE),"")</f>
        <v>Eli Stowers</v>
      </c>
      <c r="D55" s="17" t="str">
        <f>IFERROR(VLOOKUP(C55,'Big Board (by rank)'!D:F,3,FALSE),"")</f>
        <v>TE</v>
      </c>
      <c r="E55" s="17" t="str">
        <f>IFERROR(VLOOKUP(C55,'Big Board (by rank)'!D:J,2,FALSE),"")</f>
        <v>Vanderbilt</v>
      </c>
      <c r="F55" s="16">
        <f>IF(SUMIF('Big Board (by rank)'!D:D,C55,'Big Board (by rank)'!A:A)=0,"",SUMIF('Big Board (by rank)'!D:D,C55,'Big Board (by rank)'!A:A))</f>
        <v>58</v>
      </c>
      <c r="G55" s="18" t="str">
        <f>IFERROR(VLOOKUP(C55,'Big Board (by rank)'!D:J,7,FALSE),"")</f>
        <v>Philadelphia Eagles</v>
      </c>
    </row>
    <row r="56">
      <c r="A56" s="16">
        <v>2.0</v>
      </c>
      <c r="B56" s="16">
        <v>55.0</v>
      </c>
      <c r="C56" s="17" t="str">
        <f>IFERROR(VLOOKUP(B56,'Big Board (by pick)'!A:E,5,FALSE),"")</f>
        <v>Gabe Jacas</v>
      </c>
      <c r="D56" s="17" t="str">
        <f>IFERROR(VLOOKUP(C56,'Big Board (by rank)'!D:F,3,FALSE),"")</f>
        <v>EDGE</v>
      </c>
      <c r="E56" s="17" t="str">
        <f>IFERROR(VLOOKUP(C56,'Big Board (by rank)'!D:J,2,FALSE),"")</f>
        <v>Illinois</v>
      </c>
      <c r="F56" s="16">
        <f>IF(SUMIF('Big Board (by rank)'!D:D,C56,'Big Board (by rank)'!A:A)=0,"",SUMIF('Big Board (by rank)'!D:D,C56,'Big Board (by rank)'!A:A))</f>
        <v>50</v>
      </c>
      <c r="G56" s="18" t="str">
        <f>IFERROR(VLOOKUP(C56,'Big Board (by rank)'!D:J,7,FALSE),"")</f>
        <v>New England Patriots</v>
      </c>
    </row>
    <row r="57">
      <c r="A57" s="16">
        <v>2.0</v>
      </c>
      <c r="B57" s="16">
        <v>56.0</v>
      </c>
      <c r="C57" s="17" t="str">
        <f>IFERROR(VLOOKUP(B57,'Big Board (by pick)'!A:E,5,FALSE),"")</f>
        <v>Nate Boerkircher</v>
      </c>
      <c r="D57" s="17" t="str">
        <f>IFERROR(VLOOKUP(C57,'Big Board (by rank)'!D:F,3,FALSE),"")</f>
        <v>TE</v>
      </c>
      <c r="E57" s="17" t="str">
        <f>IFERROR(VLOOKUP(C57,'Big Board (by rank)'!D:J,2,FALSE),"")</f>
        <v>Texas A&amp;M</v>
      </c>
      <c r="F57" s="16">
        <f>IF(SUMIF('Big Board (by rank)'!D:D,C57,'Big Board (by rank)'!A:A)=0,"",SUMIF('Big Board (by rank)'!D:D,C57,'Big Board (by rank)'!A:A))</f>
        <v>163</v>
      </c>
      <c r="G57" s="18" t="str">
        <f>IFERROR(VLOOKUP(C57,'Big Board (by rank)'!D:J,7,FALSE),"")</f>
        <v>Jacksonville Jaguars</v>
      </c>
    </row>
    <row r="58">
      <c r="A58" s="16">
        <v>2.0</v>
      </c>
      <c r="B58" s="16">
        <v>57.0</v>
      </c>
      <c r="C58" s="17" t="str">
        <f>IFERROR(VLOOKUP(B58,'Big Board (by pick)'!A:E,5,FALSE),"")</f>
        <v>Logan Jones</v>
      </c>
      <c r="D58" s="17" t="str">
        <f>IFERROR(VLOOKUP(C58,'Big Board (by rank)'!D:F,3,FALSE),"")</f>
        <v>OC</v>
      </c>
      <c r="E58" s="17" t="str">
        <f>IFERROR(VLOOKUP(C58,'Big Board (by rank)'!D:J,2,FALSE),"")</f>
        <v>Iowa</v>
      </c>
      <c r="F58" s="16">
        <f>IF(SUMIF('Big Board (by rank)'!D:D,C58,'Big Board (by rank)'!A:A)=0,"",SUMIF('Big Board (by rank)'!D:D,C58,'Big Board (by rank)'!A:A))</f>
        <v>95</v>
      </c>
      <c r="G58" s="18" t="str">
        <f>IFERROR(VLOOKUP(C58,'Big Board (by rank)'!D:J,7,FALSE),"")</f>
        <v>Chicago Bears</v>
      </c>
    </row>
    <row r="59">
      <c r="A59" s="16">
        <v>2.0</v>
      </c>
      <c r="B59" s="16">
        <v>58.0</v>
      </c>
      <c r="C59" s="17" t="str">
        <f>IFERROR(VLOOKUP(B59,'Big Board (by pick)'!A:E,5,FALSE),"")</f>
        <v>Emmanuel McNeil-Warren</v>
      </c>
      <c r="D59" s="17" t="str">
        <f>IFERROR(VLOOKUP(C59,'Big Board (by rank)'!D:F,3,FALSE),"")</f>
        <v>S</v>
      </c>
      <c r="E59" s="17" t="str">
        <f>IFERROR(VLOOKUP(C59,'Big Board (by rank)'!D:J,2,FALSE),"")</f>
        <v>Toledo</v>
      </c>
      <c r="F59" s="16">
        <f>IF(SUMIF('Big Board (by rank)'!D:D,C59,'Big Board (by rank)'!A:A)=0,"",SUMIF('Big Board (by rank)'!D:D,C59,'Big Board (by rank)'!A:A))</f>
        <v>24</v>
      </c>
      <c r="G59" s="18" t="str">
        <f>IFERROR(VLOOKUP(C59,'Big Board (by rank)'!D:J,7,FALSE),"")</f>
        <v>Cleveland Browns</v>
      </c>
    </row>
    <row r="60">
      <c r="A60" s="16">
        <v>2.0</v>
      </c>
      <c r="B60" s="16">
        <v>59.0</v>
      </c>
      <c r="C60" s="17" t="str">
        <f>IFERROR(VLOOKUP(B60,'Big Board (by pick)'!A:E,5,FALSE),"")</f>
        <v>Marlin Klein</v>
      </c>
      <c r="D60" s="17" t="str">
        <f>IFERROR(VLOOKUP(C60,'Big Board (by rank)'!D:F,3,FALSE),"")</f>
        <v>TE</v>
      </c>
      <c r="E60" s="17" t="str">
        <f>IFERROR(VLOOKUP(C60,'Big Board (by rank)'!D:J,2,FALSE),"")</f>
        <v>Michigan</v>
      </c>
      <c r="F60" s="16">
        <f>IF(SUMIF('Big Board (by rank)'!D:D,C60,'Big Board (by rank)'!A:A)=0,"",SUMIF('Big Board (by rank)'!D:D,C60,'Big Board (by rank)'!A:A))</f>
        <v>158</v>
      </c>
      <c r="G60" s="18" t="str">
        <f>IFERROR(VLOOKUP(C60,'Big Board (by rank)'!D:J,7,FALSE),"")</f>
        <v>Houston Texans</v>
      </c>
    </row>
    <row r="61">
      <c r="A61" s="16">
        <v>2.0</v>
      </c>
      <c r="B61" s="16">
        <v>60.0</v>
      </c>
      <c r="C61" s="17" t="str">
        <f>IFERROR(VLOOKUP(B61,'Big Board (by pick)'!A:E,5,FALSE),"")</f>
        <v>Anthony Hill Jr.</v>
      </c>
      <c r="D61" s="17" t="str">
        <f>IFERROR(VLOOKUP(C61,'Big Board (by rank)'!D:F,3,FALSE),"")</f>
        <v>LB</v>
      </c>
      <c r="E61" s="17" t="str">
        <f>IFERROR(VLOOKUP(C61,'Big Board (by rank)'!D:J,2,FALSE),"")</f>
        <v>Texas</v>
      </c>
      <c r="F61" s="16">
        <f>IF(SUMIF('Big Board (by rank)'!D:D,C61,'Big Board (by rank)'!A:A)=0,"",SUMIF('Big Board (by rank)'!D:D,C61,'Big Board (by rank)'!A:A))</f>
        <v>49</v>
      </c>
      <c r="G61" s="18" t="str">
        <f>IFERROR(VLOOKUP(C61,'Big Board (by rank)'!D:J,7,FALSE),"")</f>
        <v>Tennessee Titans</v>
      </c>
    </row>
    <row r="62">
      <c r="A62" s="16">
        <v>2.0</v>
      </c>
      <c r="B62" s="16">
        <v>61.0</v>
      </c>
      <c r="C62" s="17" t="str">
        <f>IFERROR(VLOOKUP(B62,'Big Board (by pick)'!A:E,5,FALSE),"")</f>
        <v>Max Klare</v>
      </c>
      <c r="D62" s="17" t="str">
        <f>IFERROR(VLOOKUP(C62,'Big Board (by rank)'!D:F,3,FALSE),"")</f>
        <v>TE</v>
      </c>
      <c r="E62" s="17" t="str">
        <f>IFERROR(VLOOKUP(C62,'Big Board (by rank)'!D:J,2,FALSE),"")</f>
        <v>Ohio State</v>
      </c>
      <c r="F62" s="16">
        <f>IF(SUMIF('Big Board (by rank)'!D:D,C62,'Big Board (by rank)'!A:A)=0,"",SUMIF('Big Board (by rank)'!D:D,C62,'Big Board (by rank)'!A:A))</f>
        <v>71</v>
      </c>
      <c r="G62" s="18" t="str">
        <f>IFERROR(VLOOKUP(C62,'Big Board (by rank)'!D:J,7,FALSE),"")</f>
        <v>Los Angeles Rams</v>
      </c>
    </row>
    <row r="63">
      <c r="A63" s="16">
        <v>2.0</v>
      </c>
      <c r="B63" s="16">
        <v>62.0</v>
      </c>
      <c r="C63" s="17" t="str">
        <f>IFERROR(VLOOKUP(B63,'Big Board (by pick)'!A:E,5,FALSE),"")</f>
        <v>Davison Igbinosun</v>
      </c>
      <c r="D63" s="17" t="str">
        <f>IFERROR(VLOOKUP(C63,'Big Board (by rank)'!D:F,3,FALSE),"")</f>
        <v>CB</v>
      </c>
      <c r="E63" s="17" t="str">
        <f>IFERROR(VLOOKUP(C63,'Big Board (by rank)'!D:J,2,FALSE),"")</f>
        <v>Ohio State</v>
      </c>
      <c r="F63" s="16">
        <f>IF(SUMIF('Big Board (by rank)'!D:D,C63,'Big Board (by rank)'!A:A)=0,"",SUMIF('Big Board (by rank)'!D:D,C63,'Big Board (by rank)'!A:A))</f>
        <v>81</v>
      </c>
      <c r="G63" s="18" t="str">
        <f>IFERROR(VLOOKUP(C63,'Big Board (by rank)'!D:J,7,FALSE),"")</f>
        <v>Buffalo Bills</v>
      </c>
    </row>
    <row r="64">
      <c r="A64" s="16">
        <v>2.0</v>
      </c>
      <c r="B64" s="16">
        <v>63.0</v>
      </c>
      <c r="C64" s="17" t="str">
        <f>IFERROR(VLOOKUP(B64,'Big Board (by pick)'!A:E,5,FALSE),"")</f>
        <v>Jake Slaughter</v>
      </c>
      <c r="D64" s="17" t="str">
        <f>IFERROR(VLOOKUP(C64,'Big Board (by rank)'!D:F,3,FALSE),"")</f>
        <v>OC</v>
      </c>
      <c r="E64" s="17" t="str">
        <f>IFERROR(VLOOKUP(C64,'Big Board (by rank)'!D:J,2,FALSE),"")</f>
        <v>Florida</v>
      </c>
      <c r="F64" s="16">
        <f>IF(SUMIF('Big Board (by rank)'!D:D,C64,'Big Board (by rank)'!A:A)=0,"",SUMIF('Big Board (by rank)'!D:D,C64,'Big Board (by rank)'!A:A))</f>
        <v>93</v>
      </c>
      <c r="G64" s="18" t="str">
        <f>IFERROR(VLOOKUP(C64,'Big Board (by rank)'!D:J,7,FALSE),"")</f>
        <v>Los Angeles Chargers</v>
      </c>
    </row>
    <row r="65">
      <c r="A65" s="16">
        <v>3.0</v>
      </c>
      <c r="B65" s="16">
        <v>64.0</v>
      </c>
      <c r="C65" s="17" t="str">
        <f>IFERROR(VLOOKUP(B65,'Big Board (by pick)'!A:E,5,FALSE),"")</f>
        <v>Bud Clark</v>
      </c>
      <c r="D65" s="17" t="str">
        <f>IFERROR(VLOOKUP(C65,'Big Board (by rank)'!D:F,3,FALSE),"")</f>
        <v>S</v>
      </c>
      <c r="E65" s="17" t="str">
        <f>IFERROR(VLOOKUP(C65,'Big Board (by rank)'!D:J,2,FALSE),"")</f>
        <v>TCU</v>
      </c>
      <c r="F65" s="16">
        <f>IF(SUMIF('Big Board (by rank)'!D:D,C65,'Big Board (by rank)'!A:A)=0,"",SUMIF('Big Board (by rank)'!D:D,C65,'Big Board (by rank)'!A:A))</f>
        <v>79</v>
      </c>
      <c r="G65" s="18" t="str">
        <f>IFERROR(VLOOKUP(C65,'Big Board (by rank)'!D:J,7,FALSE),"")</f>
        <v>Seattle Seahawks</v>
      </c>
    </row>
    <row r="66">
      <c r="A66" s="16">
        <v>3.0</v>
      </c>
      <c r="B66" s="16">
        <v>65.0</v>
      </c>
      <c r="C66" s="17" t="str">
        <f>IFERROR(VLOOKUP(B66,'Big Board (by pick)'!A:E,5,FALSE),"")</f>
        <v>Carson Beck</v>
      </c>
      <c r="D66" s="17" t="str">
        <f>IFERROR(VLOOKUP(C66,'Big Board (by rank)'!D:F,3,FALSE),"")</f>
        <v>QB</v>
      </c>
      <c r="E66" s="17" t="str">
        <f>IFERROR(VLOOKUP(C66,'Big Board (by rank)'!D:J,2,FALSE),"")</f>
        <v>Miami (FL)</v>
      </c>
      <c r="F66" s="16">
        <f>IF(SUMIF('Big Board (by rank)'!D:D,C66,'Big Board (by rank)'!A:A)=0,"",SUMIF('Big Board (by rank)'!D:D,C66,'Big Board (by rank)'!A:A))</f>
        <v>114</v>
      </c>
      <c r="G66" s="18" t="str">
        <f>IFERROR(VLOOKUP(C66,'Big Board (by rank)'!D:J,7,FALSE),"")</f>
        <v>Arizona Cardinals</v>
      </c>
    </row>
    <row r="67">
      <c r="A67" s="16">
        <v>3.0</v>
      </c>
      <c r="B67" s="16">
        <v>66.0</v>
      </c>
      <c r="C67" s="17" t="str">
        <f>IFERROR(VLOOKUP(B67,'Big Board (by pick)'!A:E,5,FALSE),"")</f>
        <v>Tyler Onyedim</v>
      </c>
      <c r="D67" s="17" t="str">
        <f>IFERROR(VLOOKUP(C67,'Big Board (by rank)'!D:F,3,FALSE),"")</f>
        <v>DL5T</v>
      </c>
      <c r="E67" s="17" t="str">
        <f>IFERROR(VLOOKUP(C67,'Big Board (by rank)'!D:J,2,FALSE),"")</f>
        <v>Texas A&amp;M</v>
      </c>
      <c r="F67" s="16">
        <f>IF(SUMIF('Big Board (by rank)'!D:D,C67,'Big Board (by rank)'!A:A)=0,"",SUMIF('Big Board (by rank)'!D:D,C67,'Big Board (by rank)'!A:A))</f>
        <v>129</v>
      </c>
      <c r="G67" s="18" t="str">
        <f>IFERROR(VLOOKUP(C67,'Big Board (by rank)'!D:J,7,FALSE),"")</f>
        <v>Denver Broncos</v>
      </c>
    </row>
    <row r="68">
      <c r="A68" s="16">
        <v>3.0</v>
      </c>
      <c r="B68" s="16">
        <v>67.0</v>
      </c>
      <c r="C68" s="17" t="str">
        <f>IFERROR(VLOOKUP(B68,'Big Board (by pick)'!A:E,5,FALSE),"")</f>
        <v>Keyron Crawford</v>
      </c>
      <c r="D68" s="17" t="str">
        <f>IFERROR(VLOOKUP(C68,'Big Board (by rank)'!D:F,3,FALSE),"")</f>
        <v>EDGE</v>
      </c>
      <c r="E68" s="17" t="str">
        <f>IFERROR(VLOOKUP(C68,'Big Board (by rank)'!D:J,2,FALSE),"")</f>
        <v>Auburn</v>
      </c>
      <c r="F68" s="16">
        <f>IF(SUMIF('Big Board (by rank)'!D:D,C68,'Big Board (by rank)'!A:A)=0,"",SUMIF('Big Board (by rank)'!D:D,C68,'Big Board (by rank)'!A:A))</f>
        <v>90</v>
      </c>
      <c r="G68" s="18" t="str">
        <f>IFERROR(VLOOKUP(C68,'Big Board (by rank)'!D:J,7,FALSE),"")</f>
        <v>Las Vegas Raiders</v>
      </c>
    </row>
    <row r="69">
      <c r="A69" s="16">
        <v>3.0</v>
      </c>
      <c r="B69" s="16">
        <v>68.0</v>
      </c>
      <c r="C69" s="17" t="str">
        <f>IFERROR(VLOOKUP(B69,'Big Board (by pick)'!A:E,5,FALSE),"")</f>
        <v>Markel Bell</v>
      </c>
      <c r="D69" s="17" t="str">
        <f>IFERROR(VLOOKUP(C69,'Big Board (by rank)'!D:F,3,FALSE),"")</f>
        <v>OT</v>
      </c>
      <c r="E69" s="17" t="str">
        <f>IFERROR(VLOOKUP(C69,'Big Board (by rank)'!D:J,2,FALSE),"")</f>
        <v>Miami (FL)</v>
      </c>
      <c r="F69" s="16">
        <f>IF(SUMIF('Big Board (by rank)'!D:D,C69,'Big Board (by rank)'!A:A)=0,"",SUMIF('Big Board (by rank)'!D:D,C69,'Big Board (by rank)'!A:A))</f>
        <v>116</v>
      </c>
      <c r="G69" s="18" t="str">
        <f>IFERROR(VLOOKUP(C69,'Big Board (by rank)'!D:J,7,FALSE),"")</f>
        <v>Philadelphia Eagles</v>
      </c>
    </row>
    <row r="70">
      <c r="A70" s="16">
        <v>3.0</v>
      </c>
      <c r="B70" s="16">
        <v>69.0</v>
      </c>
      <c r="C70" s="17" t="str">
        <f>IFERROR(VLOOKUP(B70,'Big Board (by pick)'!A:E,5,FALSE),"")</f>
        <v>Sam Roush</v>
      </c>
      <c r="D70" s="17" t="str">
        <f>IFERROR(VLOOKUP(C70,'Big Board (by rank)'!D:F,3,FALSE),"")</f>
        <v>TE</v>
      </c>
      <c r="E70" s="17" t="str">
        <f>IFERROR(VLOOKUP(C70,'Big Board (by rank)'!D:J,2,FALSE),"")</f>
        <v>Stanford</v>
      </c>
      <c r="F70" s="16">
        <f>IF(SUMIF('Big Board (by rank)'!D:D,C70,'Big Board (by rank)'!A:A)=0,"",SUMIF('Big Board (by rank)'!D:D,C70,'Big Board (by rank)'!A:A))</f>
        <v>103</v>
      </c>
      <c r="G70" s="18" t="str">
        <f>IFERROR(VLOOKUP(C70,'Big Board (by rank)'!D:J,7,FALSE),"")</f>
        <v>Chicago Bears</v>
      </c>
    </row>
    <row r="71">
      <c r="A71" s="16">
        <v>3.0</v>
      </c>
      <c r="B71" s="16">
        <v>70.0</v>
      </c>
      <c r="C71" s="17" t="str">
        <f>IFERROR(VLOOKUP(B71,'Big Board (by pick)'!A:E,5,FALSE),"")</f>
        <v>Romello Height</v>
      </c>
      <c r="D71" s="17" t="str">
        <f>IFERROR(VLOOKUP(C71,'Big Board (by rank)'!D:F,3,FALSE),"")</f>
        <v>EDGE</v>
      </c>
      <c r="E71" s="17" t="str">
        <f>IFERROR(VLOOKUP(C71,'Big Board (by rank)'!D:J,2,FALSE),"")</f>
        <v>Texas Tech</v>
      </c>
      <c r="F71" s="16">
        <f>IF(SUMIF('Big Board (by rank)'!D:D,C71,'Big Board (by rank)'!A:A)=0,"",SUMIF('Big Board (by rank)'!D:D,C71,'Big Board (by rank)'!A:A))</f>
        <v>78</v>
      </c>
      <c r="G71" s="18" t="str">
        <f>IFERROR(VLOOKUP(C71,'Big Board (by rank)'!D:J,7,FALSE),"")</f>
        <v>San Francisco 49ers</v>
      </c>
    </row>
    <row r="72">
      <c r="A72" s="16">
        <v>3.0</v>
      </c>
      <c r="B72" s="16">
        <v>71.0</v>
      </c>
      <c r="C72" s="17" t="str">
        <f>IFERROR(VLOOKUP(B72,'Big Board (by pick)'!A:E,5,FALSE),"")</f>
        <v>Antonio Williams</v>
      </c>
      <c r="D72" s="17" t="str">
        <f>IFERROR(VLOOKUP(C72,'Big Board (by rank)'!D:F,3,FALSE),"")</f>
        <v>WR</v>
      </c>
      <c r="E72" s="17" t="str">
        <f>IFERROR(VLOOKUP(C72,'Big Board (by rank)'!D:J,2,FALSE),"")</f>
        <v>Clemson</v>
      </c>
      <c r="F72" s="16">
        <f>IF(SUMIF('Big Board (by rank)'!D:D,C72,'Big Board (by rank)'!A:A)=0,"",SUMIF('Big Board (by rank)'!D:D,C72,'Big Board (by rank)'!A:A))</f>
        <v>66</v>
      </c>
      <c r="G72" s="18" t="str">
        <f>IFERROR(VLOOKUP(C72,'Big Board (by rank)'!D:J,7,FALSE),"")</f>
        <v>Washington Commanders</v>
      </c>
    </row>
    <row r="73">
      <c r="A73" s="16">
        <v>3.0</v>
      </c>
      <c r="B73" s="16">
        <v>72.0</v>
      </c>
      <c r="C73" s="17" t="str">
        <f>IFERROR(VLOOKUP(B73,'Big Board (by pick)'!A:E,5,FALSE),"")</f>
        <v>Tacario Davis</v>
      </c>
      <c r="D73" s="17" t="str">
        <f>IFERROR(VLOOKUP(C73,'Big Board (by rank)'!D:F,3,FALSE),"")</f>
        <v>CB</v>
      </c>
      <c r="E73" s="17" t="str">
        <f>IFERROR(VLOOKUP(C73,'Big Board (by rank)'!D:J,2,FALSE),"")</f>
        <v>Washington</v>
      </c>
      <c r="F73" s="16">
        <f>IF(SUMIF('Big Board (by rank)'!D:D,C73,'Big Board (by rank)'!A:A)=0,"",SUMIF('Big Board (by rank)'!D:D,C73,'Big Board (by rank)'!A:A))</f>
        <v>120</v>
      </c>
      <c r="G73" s="18" t="str">
        <f>IFERROR(VLOOKUP(C73,'Big Board (by rank)'!D:J,7,FALSE),"")</f>
        <v>Cincinnati Bengals</v>
      </c>
    </row>
    <row r="74">
      <c r="A74" s="16">
        <v>3.0</v>
      </c>
      <c r="B74" s="16">
        <v>73.0</v>
      </c>
      <c r="C74" s="17" t="str">
        <f>IFERROR(VLOOKUP(B74,'Big Board (by pick)'!A:E,5,FALSE),"")</f>
        <v>Oscar Delp</v>
      </c>
      <c r="D74" s="17" t="str">
        <f>IFERROR(VLOOKUP(C74,'Big Board (by rank)'!D:F,3,FALSE),"")</f>
        <v>TE</v>
      </c>
      <c r="E74" s="17" t="str">
        <f>IFERROR(VLOOKUP(C74,'Big Board (by rank)'!D:J,2,FALSE),"")</f>
        <v>Georgia</v>
      </c>
      <c r="F74" s="16">
        <f>IF(SUMIF('Big Board (by rank)'!D:D,C74,'Big Board (by rank)'!A:A)=0,"",SUMIF('Big Board (by rank)'!D:D,C74,'Big Board (by rank)'!A:A))</f>
        <v>101</v>
      </c>
      <c r="G74" s="18" t="str">
        <f>IFERROR(VLOOKUP(C74,'Big Board (by rank)'!D:J,7,FALSE),"")</f>
        <v>New Orleans Saints</v>
      </c>
    </row>
    <row r="75">
      <c r="A75" s="16">
        <v>3.0</v>
      </c>
      <c r="B75" s="16">
        <v>74.0</v>
      </c>
      <c r="C75" s="17" t="str">
        <f>IFERROR(VLOOKUP(B75,'Big Board (by pick)'!A:E,5,FALSE),"")</f>
        <v>Malachi Fields</v>
      </c>
      <c r="D75" s="17" t="str">
        <f>IFERROR(VLOOKUP(C75,'Big Board (by rank)'!D:F,3,FALSE),"")</f>
        <v>WR</v>
      </c>
      <c r="E75" s="17" t="str">
        <f>IFERROR(VLOOKUP(C75,'Big Board (by rank)'!D:J,2,FALSE),"")</f>
        <v>Notre Dame</v>
      </c>
      <c r="F75" s="16">
        <f>IF(SUMIF('Big Board (by rank)'!D:D,C75,'Big Board (by rank)'!A:A)=0,"",SUMIF('Big Board (by rank)'!D:D,C75,'Big Board (by rank)'!A:A))</f>
        <v>73</v>
      </c>
      <c r="G75" s="18" t="str">
        <f>IFERROR(VLOOKUP(C75,'Big Board (by rank)'!D:J,7,FALSE),"")</f>
        <v>New York Giants</v>
      </c>
    </row>
    <row r="76">
      <c r="A76" s="16">
        <v>3.0</v>
      </c>
      <c r="B76" s="16">
        <v>75.0</v>
      </c>
      <c r="C76" s="17" t="str">
        <f>IFERROR(VLOOKUP(B76,'Big Board (by pick)'!A:E,5,FALSE),"")</f>
        <v>Caleb Douglas</v>
      </c>
      <c r="D76" s="17" t="str">
        <f>IFERROR(VLOOKUP(C76,'Big Board (by rank)'!D:F,3,FALSE),"")</f>
        <v>WR</v>
      </c>
      <c r="E76" s="17" t="str">
        <f>IFERROR(VLOOKUP(C76,'Big Board (by rank)'!D:J,2,FALSE),"")</f>
        <v>Texas Tech</v>
      </c>
      <c r="F76" s="16">
        <f>IF(SUMIF('Big Board (by rank)'!D:D,C76,'Big Board (by rank)'!A:A)=0,"",SUMIF('Big Board (by rank)'!D:D,C76,'Big Board (by rank)'!A:A))</f>
        <v>219</v>
      </c>
      <c r="G76" s="18" t="str">
        <f>IFERROR(VLOOKUP(C76,'Big Board (by rank)'!D:J,7,FALSE),"")</f>
        <v>Miami Dolphins</v>
      </c>
    </row>
    <row r="77">
      <c r="A77" s="16">
        <v>3.0</v>
      </c>
      <c r="B77" s="16">
        <v>76.0</v>
      </c>
      <c r="C77" s="17" t="str">
        <f>IFERROR(VLOOKUP(B77,'Big Board (by pick)'!A:E,5,FALSE),"")</f>
        <v>Drew Allar</v>
      </c>
      <c r="D77" s="17" t="str">
        <f>IFERROR(VLOOKUP(C77,'Big Board (by rank)'!D:F,3,FALSE),"")</f>
        <v>QB</v>
      </c>
      <c r="E77" s="17" t="str">
        <f>IFERROR(VLOOKUP(C77,'Big Board (by rank)'!D:J,2,FALSE),"")</f>
        <v>Penn State</v>
      </c>
      <c r="F77" s="16">
        <f>IF(SUMIF('Big Board (by rank)'!D:D,C77,'Big Board (by rank)'!A:A)=0,"",SUMIF('Big Board (by rank)'!D:D,C77,'Big Board (by rank)'!A:A))</f>
        <v>121</v>
      </c>
      <c r="G77" s="18" t="str">
        <f>IFERROR(VLOOKUP(C77,'Big Board (by rank)'!D:J,7,FALSE),"")</f>
        <v>Pittsburgh Steelers</v>
      </c>
    </row>
    <row r="78">
      <c r="A78" s="16">
        <v>3.0</v>
      </c>
      <c r="B78" s="16">
        <v>77.0</v>
      </c>
      <c r="C78" s="17" t="str">
        <f>IFERROR(VLOOKUP(B78,'Big Board (by pick)'!A:E,5,FALSE),"")</f>
        <v>Chris McClellan</v>
      </c>
      <c r="D78" s="17" t="str">
        <f>IFERROR(VLOOKUP(C78,'Big Board (by rank)'!D:F,3,FALSE),"")</f>
        <v>DL3T</v>
      </c>
      <c r="E78" s="17" t="str">
        <f>IFERROR(VLOOKUP(C78,'Big Board (by rank)'!D:J,2,FALSE),"")</f>
        <v>Missouri</v>
      </c>
      <c r="F78" s="16">
        <f>IF(SUMIF('Big Board (by rank)'!D:D,C78,'Big Board (by rank)'!A:A)=0,"",SUMIF('Big Board (by rank)'!D:D,C78,'Big Board (by rank)'!A:A))</f>
        <v>108</v>
      </c>
      <c r="G78" s="18" t="str">
        <f>IFERROR(VLOOKUP(C78,'Big Board (by rank)'!D:J,7,FALSE),"")</f>
        <v>Green Bay Packers</v>
      </c>
    </row>
    <row r="79">
      <c r="A79" s="16">
        <v>3.0</v>
      </c>
      <c r="B79" s="16">
        <v>78.0</v>
      </c>
      <c r="C79" s="17" t="str">
        <f>IFERROR(VLOOKUP(B79,'Big Board (by pick)'!A:E,5,FALSE),"")</f>
        <v>A.J. Haulcy</v>
      </c>
      <c r="D79" s="17" t="str">
        <f>IFERROR(VLOOKUP(C79,'Big Board (by rank)'!D:F,3,FALSE),"")</f>
        <v>S</v>
      </c>
      <c r="E79" s="17" t="str">
        <f>IFERROR(VLOOKUP(C79,'Big Board (by rank)'!D:J,2,FALSE),"")</f>
        <v>LSU</v>
      </c>
      <c r="F79" s="16">
        <f>IF(SUMIF('Big Board (by rank)'!D:D,C79,'Big Board (by rank)'!A:A)=0,"",SUMIF('Big Board (by rank)'!D:D,C79,'Big Board (by rank)'!A:A))</f>
        <v>56</v>
      </c>
      <c r="G79" s="18" t="str">
        <f>IFERROR(VLOOKUP(C79,'Big Board (by rank)'!D:J,7,FALSE),"")</f>
        <v>Indianapolis Colts</v>
      </c>
    </row>
    <row r="80">
      <c r="A80" s="16">
        <v>3.0</v>
      </c>
      <c r="B80" s="16">
        <v>79.0</v>
      </c>
      <c r="C80" s="17" t="str">
        <f>IFERROR(VLOOKUP(B80,'Big Board (by pick)'!A:E,5,FALSE),"")</f>
        <v>Zachariah Branch</v>
      </c>
      <c r="D80" s="17" t="str">
        <f>IFERROR(VLOOKUP(C80,'Big Board (by rank)'!D:F,3,FALSE),"")</f>
        <v>WR</v>
      </c>
      <c r="E80" s="17" t="str">
        <f>IFERROR(VLOOKUP(C80,'Big Board (by rank)'!D:J,2,FALSE),"")</f>
        <v>Georgia</v>
      </c>
      <c r="F80" s="16">
        <f>IF(SUMIF('Big Board (by rank)'!D:D,C80,'Big Board (by rank)'!A:A)=0,"",SUMIF('Big Board (by rank)'!D:D,C80,'Big Board (by rank)'!A:A))</f>
        <v>64</v>
      </c>
      <c r="G80" s="18" t="str">
        <f>IFERROR(VLOOKUP(C80,'Big Board (by rank)'!D:J,7,FALSE),"")</f>
        <v>Atlanta Falcons</v>
      </c>
    </row>
    <row r="81">
      <c r="A81" s="16">
        <v>3.0</v>
      </c>
      <c r="B81" s="16">
        <v>80.0</v>
      </c>
      <c r="C81" s="17" t="str">
        <f>IFERROR(VLOOKUP(B81,'Big Board (by pick)'!A:E,5,FALSE),"")</f>
        <v>Ja'Kobi Lane</v>
      </c>
      <c r="D81" s="17" t="str">
        <f>IFERROR(VLOOKUP(C81,'Big Board (by rank)'!D:F,3,FALSE),"")</f>
        <v>WR</v>
      </c>
      <c r="E81" s="17" t="str">
        <f>IFERROR(VLOOKUP(C81,'Big Board (by rank)'!D:J,2,FALSE),"")</f>
        <v>USC</v>
      </c>
      <c r="F81" s="16">
        <f>IF(SUMIF('Big Board (by rank)'!D:D,C81,'Big Board (by rank)'!A:A)=0,"",SUMIF('Big Board (by rank)'!D:D,C81,'Big Board (by rank)'!A:A))</f>
        <v>113</v>
      </c>
      <c r="G81" s="18" t="str">
        <f>IFERROR(VLOOKUP(C81,'Big Board (by rank)'!D:J,7,FALSE),"")</f>
        <v>Baltimore Ravens</v>
      </c>
    </row>
    <row r="82">
      <c r="A82" s="16">
        <v>3.0</v>
      </c>
      <c r="B82" s="16">
        <v>81.0</v>
      </c>
      <c r="C82" s="17" t="str">
        <f>IFERROR(VLOOKUP(B82,'Big Board (by pick)'!A:E,5,FALSE),"")</f>
        <v>Albert Regis</v>
      </c>
      <c r="D82" s="17" t="str">
        <f>IFERROR(VLOOKUP(C82,'Big Board (by rank)'!D:F,3,FALSE),"")</f>
        <v>DL3T</v>
      </c>
      <c r="E82" s="17" t="str">
        <f>IFERROR(VLOOKUP(C82,'Big Board (by rank)'!D:J,2,FALSE),"")</f>
        <v>Texas A&amp;M</v>
      </c>
      <c r="F82" s="16">
        <f>IF(SUMIF('Big Board (by rank)'!D:D,C82,'Big Board (by rank)'!A:A)=0,"",SUMIF('Big Board (by rank)'!D:D,C82,'Big Board (by rank)'!A:A))</f>
        <v>150</v>
      </c>
      <c r="G82" s="18" t="str">
        <f>IFERROR(VLOOKUP(C82,'Big Board (by rank)'!D:J,7,FALSE),"")</f>
        <v>Jacksonville Jaguars</v>
      </c>
    </row>
    <row r="83">
      <c r="A83" s="16">
        <v>3.0</v>
      </c>
      <c r="B83" s="16">
        <v>82.0</v>
      </c>
      <c r="C83" s="17" t="str">
        <f>IFERROR(VLOOKUP(B83,'Big Board (by pick)'!A:E,5,FALSE),"")</f>
        <v>Domonique Orange</v>
      </c>
      <c r="D83" s="17" t="str">
        <f>IFERROR(VLOOKUP(C83,'Big Board (by rank)'!D:F,3,FALSE),"")</f>
        <v>DL1T</v>
      </c>
      <c r="E83" s="17" t="str">
        <f>IFERROR(VLOOKUP(C83,'Big Board (by rank)'!D:J,2,FALSE),"")</f>
        <v>Iowa State</v>
      </c>
      <c r="F83" s="16">
        <f>IF(SUMIF('Big Board (by rank)'!D:D,C83,'Big Board (by rank)'!A:A)=0,"",SUMIF('Big Board (by rank)'!D:D,C83,'Big Board (by rank)'!A:A))</f>
        <v>70</v>
      </c>
      <c r="G83" s="18" t="str">
        <f>IFERROR(VLOOKUP(C83,'Big Board (by rank)'!D:J,7,FALSE),"")</f>
        <v>Minnesota Vikings</v>
      </c>
    </row>
    <row r="84">
      <c r="A84" s="16">
        <v>3.0</v>
      </c>
      <c r="B84" s="16">
        <v>83.0</v>
      </c>
      <c r="C84" s="17" t="str">
        <f>IFERROR(VLOOKUP(B84,'Big Board (by pick)'!A:E,5,FALSE),"")</f>
        <v>Chris Brazzell II</v>
      </c>
      <c r="D84" s="17" t="str">
        <f>IFERROR(VLOOKUP(C84,'Big Board (by rank)'!D:F,3,FALSE),"")</f>
        <v>WR</v>
      </c>
      <c r="E84" s="17" t="str">
        <f>IFERROR(VLOOKUP(C84,'Big Board (by rank)'!D:J,2,FALSE),"")</f>
        <v>Tennessee</v>
      </c>
      <c r="F84" s="16">
        <f>IF(SUMIF('Big Board (by rank)'!D:D,C84,'Big Board (by rank)'!A:A)=0,"",SUMIF('Big Board (by rank)'!D:D,C84,'Big Board (by rank)'!A:A))</f>
        <v>57</v>
      </c>
      <c r="G84" s="18" t="str">
        <f>IFERROR(VLOOKUP(C84,'Big Board (by rank)'!D:J,7,FALSE),"")</f>
        <v>Carolina Panthers</v>
      </c>
    </row>
    <row r="85">
      <c r="A85" s="16">
        <v>3.0</v>
      </c>
      <c r="B85" s="16">
        <v>84.0</v>
      </c>
      <c r="C85" s="17" t="str">
        <f>IFERROR(VLOOKUP(B85,'Big Board (by pick)'!A:E,5,FALSE),"")</f>
        <v>Ted Hurst</v>
      </c>
      <c r="D85" s="17" t="str">
        <f>IFERROR(VLOOKUP(C85,'Big Board (by rank)'!D:F,3,FALSE),"")</f>
        <v>WR</v>
      </c>
      <c r="E85" s="17" t="str">
        <f>IFERROR(VLOOKUP(C85,'Big Board (by rank)'!D:J,2,FALSE),"")</f>
        <v>Georgia State</v>
      </c>
      <c r="F85" s="16">
        <f>IF(SUMIF('Big Board (by rank)'!D:D,C85,'Big Board (by rank)'!A:A)=0,"",SUMIF('Big Board (by rank)'!D:D,C85,'Big Board (by rank)'!A:A))</f>
        <v>75</v>
      </c>
      <c r="G85" s="18" t="str">
        <f>IFERROR(VLOOKUP(C85,'Big Board (by rank)'!D:J,7,FALSE),"")</f>
        <v>Tampa Bay Buccaneers</v>
      </c>
    </row>
    <row r="86">
      <c r="A86" s="16">
        <v>3.0</v>
      </c>
      <c r="B86" s="16">
        <v>85.0</v>
      </c>
      <c r="C86" s="17" t="str">
        <f>IFERROR(VLOOKUP(B86,'Big Board (by pick)'!A:E,5,FALSE),"")</f>
        <v>Daylen Everette</v>
      </c>
      <c r="D86" s="17" t="str">
        <f>IFERROR(VLOOKUP(C86,'Big Board (by rank)'!D:F,3,FALSE),"")</f>
        <v>CB</v>
      </c>
      <c r="E86" s="17" t="str">
        <f>IFERROR(VLOOKUP(C86,'Big Board (by rank)'!D:J,2,FALSE),"")</f>
        <v>Georgia</v>
      </c>
      <c r="F86" s="16">
        <f>IF(SUMIF('Big Board (by rank)'!D:D,C86,'Big Board (by rank)'!A:A)=0,"",SUMIF('Big Board (by rank)'!D:D,C86,'Big Board (by rank)'!A:A))</f>
        <v>102</v>
      </c>
      <c r="G86" s="18" t="str">
        <f>IFERROR(VLOOKUP(C86,'Big Board (by rank)'!D:J,7,FALSE),"")</f>
        <v>Pittsburgh Steelers</v>
      </c>
    </row>
    <row r="87">
      <c r="A87" s="16">
        <v>3.0</v>
      </c>
      <c r="B87" s="16">
        <v>86.0</v>
      </c>
      <c r="C87" s="17" t="str">
        <f>IFERROR(VLOOKUP(B87,'Big Board (by pick)'!A:E,5,FALSE),"")</f>
        <v>Austin Barber</v>
      </c>
      <c r="D87" s="17" t="str">
        <f>IFERROR(VLOOKUP(C87,'Big Board (by rank)'!D:F,3,FALSE),"")</f>
        <v>OT</v>
      </c>
      <c r="E87" s="17" t="str">
        <f>IFERROR(VLOOKUP(C87,'Big Board (by rank)'!D:J,2,FALSE),"")</f>
        <v>Florida</v>
      </c>
      <c r="F87" s="16">
        <f>IF(SUMIF('Big Board (by rank)'!D:D,C87,'Big Board (by rank)'!A:A)=0,"",SUMIF('Big Board (by rank)'!D:D,C87,'Big Board (by rank)'!A:A))</f>
        <v>105</v>
      </c>
      <c r="G87" s="18" t="str">
        <f>IFERROR(VLOOKUP(C87,'Big Board (by rank)'!D:J,7,FALSE),"")</f>
        <v>Cleveland Browns</v>
      </c>
    </row>
    <row r="88">
      <c r="A88" s="16">
        <v>3.0</v>
      </c>
      <c r="B88" s="16">
        <v>87.0</v>
      </c>
      <c r="C88" s="17" t="str">
        <f>IFERROR(VLOOKUP(B88,'Big Board (by pick)'!A:E,5,FALSE),"")</f>
        <v>Will Kacmarek</v>
      </c>
      <c r="D88" s="17" t="str">
        <f>IFERROR(VLOOKUP(C88,'Big Board (by rank)'!D:F,3,FALSE),"")</f>
        <v>TE</v>
      </c>
      <c r="E88" s="17" t="str">
        <f>IFERROR(VLOOKUP(C88,'Big Board (by rank)'!D:J,2,FALSE),"")</f>
        <v>Ohio State</v>
      </c>
      <c r="F88" s="16">
        <f>IF(SUMIF('Big Board (by rank)'!D:D,C88,'Big Board (by rank)'!A:A)=0,"",SUMIF('Big Board (by rank)'!D:D,C88,'Big Board (by rank)'!A:A))</f>
        <v>205</v>
      </c>
      <c r="G88" s="18" t="str">
        <f>IFERROR(VLOOKUP(C88,'Big Board (by rank)'!D:J,7,FALSE),"")</f>
        <v>Miami Dolphins</v>
      </c>
    </row>
    <row r="89">
      <c r="A89" s="16">
        <v>3.0</v>
      </c>
      <c r="B89" s="16">
        <v>88.0</v>
      </c>
      <c r="C89" s="17" t="str">
        <f>IFERROR(VLOOKUP(B89,'Big Board (by pick)'!A:E,5,FALSE),"")</f>
        <v>Emmanuel Pregnon</v>
      </c>
      <c r="D89" s="17" t="str">
        <f>IFERROR(VLOOKUP(C89,'Big Board (by rank)'!D:F,3,FALSE),"")</f>
        <v>OG</v>
      </c>
      <c r="E89" s="17" t="str">
        <f>IFERROR(VLOOKUP(C89,'Big Board (by rank)'!D:J,2,FALSE),"")</f>
        <v>Oregon</v>
      </c>
      <c r="F89" s="16">
        <f>IF(SUMIF('Big Board (by rank)'!D:D,C89,'Big Board (by rank)'!A:A)=0,"",SUMIF('Big Board (by rank)'!D:D,C89,'Big Board (by rank)'!A:A))</f>
        <v>41</v>
      </c>
      <c r="G89" s="18" t="str">
        <f>IFERROR(VLOOKUP(C89,'Big Board (by rank)'!D:J,7,FALSE),"")</f>
        <v>Jacksonville Jaguars</v>
      </c>
    </row>
    <row r="90">
      <c r="A90" s="16">
        <v>3.0</v>
      </c>
      <c r="B90" s="16">
        <v>89.0</v>
      </c>
      <c r="C90" s="17" t="str">
        <f>IFERROR(VLOOKUP(B90,'Big Board (by pick)'!A:E,5,FALSE),"")</f>
        <v>Zavion Thomas</v>
      </c>
      <c r="D90" s="17" t="str">
        <f>IFERROR(VLOOKUP(C90,'Big Board (by rank)'!D:F,3,FALSE),"")</f>
        <v>WR</v>
      </c>
      <c r="E90" s="17" t="str">
        <f>IFERROR(VLOOKUP(C90,'Big Board (by rank)'!D:J,2,FALSE),"")</f>
        <v>LSU</v>
      </c>
      <c r="F90" s="16">
        <f>IF(SUMIF('Big Board (by rank)'!D:D,C90,'Big Board (by rank)'!A:A)=0,"",SUMIF('Big Board (by rank)'!D:D,C90,'Big Board (by rank)'!A:A))</f>
        <v>265</v>
      </c>
      <c r="G90" s="18" t="str">
        <f>IFERROR(VLOOKUP(C90,'Big Board (by rank)'!D:J,7,FALSE),"")</f>
        <v>Chicago Bears</v>
      </c>
    </row>
    <row r="91">
      <c r="A91" s="16">
        <v>3.0</v>
      </c>
      <c r="B91" s="16">
        <v>90.0</v>
      </c>
      <c r="C91" s="17" t="str">
        <f>IFERROR(VLOOKUP(B91,'Big Board (by pick)'!A:E,5,FALSE),"")</f>
        <v>Kaelon Black</v>
      </c>
      <c r="D91" s="17" t="str">
        <f>IFERROR(VLOOKUP(C91,'Big Board (by rank)'!D:F,3,FALSE),"")</f>
        <v>RB</v>
      </c>
      <c r="E91" s="17" t="str">
        <f>IFERROR(VLOOKUP(C91,'Big Board (by rank)'!D:J,2,FALSE),"")</f>
        <v>Indiana</v>
      </c>
      <c r="F91" s="16">
        <f>IF(SUMIF('Big Board (by rank)'!D:D,C91,'Big Board (by rank)'!A:A)=0,"",SUMIF('Big Board (by rank)'!D:D,C91,'Big Board (by rank)'!A:A))</f>
        <v>214</v>
      </c>
      <c r="G91" s="18" t="str">
        <f>IFERROR(VLOOKUP(C91,'Big Board (by rank)'!D:J,7,FALSE),"")</f>
        <v>San Francisco 49ers</v>
      </c>
    </row>
    <row r="92">
      <c r="A92" s="16">
        <v>3.0</v>
      </c>
      <c r="B92" s="16">
        <v>91.0</v>
      </c>
      <c r="C92" s="17" t="str">
        <f>IFERROR(VLOOKUP(B92,'Big Board (by pick)'!A:E,5,FALSE),"")</f>
        <v>Trey Zuhn III</v>
      </c>
      <c r="D92" s="17" t="str">
        <f>IFERROR(VLOOKUP(C92,'Big Board (by rank)'!D:F,3,FALSE),"")</f>
        <v>OC</v>
      </c>
      <c r="E92" s="17" t="str">
        <f>IFERROR(VLOOKUP(C92,'Big Board (by rank)'!D:J,2,FALSE),"")</f>
        <v>Texas A&amp;M</v>
      </c>
      <c r="F92" s="16">
        <f>IF(SUMIF('Big Board (by rank)'!D:D,C92,'Big Board (by rank)'!A:A)=0,"",SUMIF('Big Board (by rank)'!D:D,C92,'Big Board (by rank)'!A:A))</f>
        <v>110</v>
      </c>
      <c r="G92" s="18" t="str">
        <f>IFERROR(VLOOKUP(C92,'Big Board (by rank)'!D:J,7,FALSE),"")</f>
        <v>Las Vegas Raiders</v>
      </c>
    </row>
    <row r="93">
      <c r="A93" s="16">
        <v>3.0</v>
      </c>
      <c r="B93" s="16">
        <v>92.0</v>
      </c>
      <c r="C93" s="17" t="str">
        <f>IFERROR(VLOOKUP(B93,'Big Board (by pick)'!A:E,5,FALSE),"")</f>
        <v>Jaishawn Barham</v>
      </c>
      <c r="D93" s="17" t="str">
        <f>IFERROR(VLOOKUP(C93,'Big Board (by rank)'!D:F,3,FALSE),"")</f>
        <v>EDGE</v>
      </c>
      <c r="E93" s="17" t="str">
        <f>IFERROR(VLOOKUP(C93,'Big Board (by rank)'!D:J,2,FALSE),"")</f>
        <v>Michigan</v>
      </c>
      <c r="F93" s="16">
        <f>IF(SUMIF('Big Board (by rank)'!D:D,C93,'Big Board (by rank)'!A:A)=0,"",SUMIF('Big Board (by rank)'!D:D,C93,'Big Board (by rank)'!A:A))</f>
        <v>85</v>
      </c>
      <c r="G93" s="18" t="str">
        <f>IFERROR(VLOOKUP(C93,'Big Board (by rank)'!D:J,7,FALSE),"")</f>
        <v>Dallas Cowboys</v>
      </c>
    </row>
    <row r="94">
      <c r="A94" s="16">
        <v>3.0</v>
      </c>
      <c r="B94" s="16">
        <v>93.0</v>
      </c>
      <c r="C94" s="17" t="str">
        <f>IFERROR(VLOOKUP(B94,'Big Board (by pick)'!A:E,5,FALSE),"")</f>
        <v>Keagen Trost</v>
      </c>
      <c r="D94" s="17" t="str">
        <f>IFERROR(VLOOKUP(C94,'Big Board (by rank)'!D:F,3,FALSE),"")</f>
        <v>OG</v>
      </c>
      <c r="E94" s="17" t="str">
        <f>IFERROR(VLOOKUP(C94,'Big Board (by rank)'!D:J,2,FALSE),"")</f>
        <v>Missouri</v>
      </c>
      <c r="F94" s="16">
        <f>IF(SUMIF('Big Board (by rank)'!D:D,C94,'Big Board (by rank)'!A:A)=0,"",SUMIF('Big Board (by rank)'!D:D,C94,'Big Board (by rank)'!A:A))</f>
        <v>164</v>
      </c>
      <c r="G94" s="18" t="str">
        <f>IFERROR(VLOOKUP(C94,'Big Board (by rank)'!D:J,7,FALSE),"")</f>
        <v>Los Angeles Rams</v>
      </c>
    </row>
    <row r="95">
      <c r="A95" s="16">
        <v>3.0</v>
      </c>
      <c r="B95" s="16">
        <v>94.0</v>
      </c>
      <c r="C95" s="17" t="str">
        <f>IFERROR(VLOOKUP(B95,'Big Board (by pick)'!A:E,5,FALSE),"")</f>
        <v>Chris Bell</v>
      </c>
      <c r="D95" s="17" t="str">
        <f>IFERROR(VLOOKUP(C95,'Big Board (by rank)'!D:F,3,FALSE),"")</f>
        <v>WR</v>
      </c>
      <c r="E95" s="17" t="str">
        <f>IFERROR(VLOOKUP(C95,'Big Board (by rank)'!D:J,2,FALSE),"")</f>
        <v>Louisville</v>
      </c>
      <c r="F95" s="16">
        <f>IF(SUMIF('Big Board (by rank)'!D:D,C95,'Big Board (by rank)'!A:A)=0,"",SUMIF('Big Board (by rank)'!D:D,C95,'Big Board (by rank)'!A:A))</f>
        <v>54</v>
      </c>
      <c r="G95" s="18" t="str">
        <f>IFERROR(VLOOKUP(C95,'Big Board (by rank)'!D:J,7,FALSE),"")</f>
        <v>Miami Dolphins</v>
      </c>
    </row>
    <row r="96">
      <c r="A96" s="16">
        <v>3.0</v>
      </c>
      <c r="B96" s="16">
        <v>95.0</v>
      </c>
      <c r="C96" s="17" t="str">
        <f>IFERROR(VLOOKUP(B96,'Big Board (by pick)'!A:E,5,FALSE),"")</f>
        <v>Eli Raridon</v>
      </c>
      <c r="D96" s="17" t="str">
        <f>IFERROR(VLOOKUP(C96,'Big Board (by rank)'!D:F,3,FALSE),"")</f>
        <v>TE</v>
      </c>
      <c r="E96" s="17" t="str">
        <f>IFERROR(VLOOKUP(C96,'Big Board (by rank)'!D:J,2,FALSE),"")</f>
        <v>Notre Dame</v>
      </c>
      <c r="F96" s="16">
        <f>IF(SUMIF('Big Board (by rank)'!D:D,C96,'Big Board (by rank)'!A:A)=0,"",SUMIF('Big Board (by rank)'!D:D,C96,'Big Board (by rank)'!A:A))</f>
        <v>126</v>
      </c>
      <c r="G96" s="18" t="str">
        <f>IFERROR(VLOOKUP(C96,'Big Board (by rank)'!D:J,7,FALSE),"")</f>
        <v>New England Patriots</v>
      </c>
    </row>
    <row r="97">
      <c r="A97" s="16">
        <v>3.0</v>
      </c>
      <c r="B97" s="16">
        <v>96.0</v>
      </c>
      <c r="C97" s="17" t="str">
        <f>IFERROR(VLOOKUP(B97,'Big Board (by pick)'!A:E,5,FALSE),"")</f>
        <v>Gennings Dunker</v>
      </c>
      <c r="D97" s="17" t="str">
        <f>IFERROR(VLOOKUP(C97,'Big Board (by rank)'!D:F,3,FALSE),"")</f>
        <v>OG</v>
      </c>
      <c r="E97" s="17" t="str">
        <f>IFERROR(VLOOKUP(C97,'Big Board (by rank)'!D:J,2,FALSE),"")</f>
        <v>Iowa</v>
      </c>
      <c r="F97" s="16">
        <f>IF(SUMIF('Big Board (by rank)'!D:D,C97,'Big Board (by rank)'!A:A)=0,"",SUMIF('Big Board (by rank)'!D:D,C97,'Big Board (by rank)'!A:A))</f>
        <v>65</v>
      </c>
      <c r="G97" s="18" t="str">
        <f>IFERROR(VLOOKUP(C97,'Big Board (by rank)'!D:J,7,FALSE),"")</f>
        <v>Pittsburgh Steelers</v>
      </c>
    </row>
    <row r="98">
      <c r="A98" s="16">
        <v>3.0</v>
      </c>
      <c r="B98" s="16">
        <v>97.0</v>
      </c>
      <c r="C98" s="17" t="str">
        <f>IFERROR(VLOOKUP(B98,'Big Board (by pick)'!A:E,5,FALSE),"")</f>
        <v>Caleb Tiernan</v>
      </c>
      <c r="D98" s="17" t="str">
        <f>IFERROR(VLOOKUP(C98,'Big Board (by rank)'!D:F,3,FALSE),"")</f>
        <v>OT</v>
      </c>
      <c r="E98" s="17" t="str">
        <f>IFERROR(VLOOKUP(C98,'Big Board (by rank)'!D:J,2,FALSE),"")</f>
        <v>Northwestern</v>
      </c>
      <c r="F98" s="16">
        <f>IF(SUMIF('Big Board (by rank)'!D:D,C98,'Big Board (by rank)'!A:A)=0,"",SUMIF('Big Board (by rank)'!D:D,C98,'Big Board (by rank)'!A:A))</f>
        <v>67</v>
      </c>
      <c r="G98" s="18" t="str">
        <f>IFERROR(VLOOKUP(C98,'Big Board (by rank)'!D:J,7,FALSE),"")</f>
        <v>Minnesota Vikings</v>
      </c>
    </row>
    <row r="99">
      <c r="A99" s="16">
        <v>3.0</v>
      </c>
      <c r="B99" s="16">
        <v>98.0</v>
      </c>
      <c r="C99" s="17" t="str">
        <f>IFERROR(VLOOKUP(B99,'Big Board (by pick)'!A:E,5,FALSE),"")</f>
        <v>Jakobe Thomas</v>
      </c>
      <c r="D99" s="17" t="str">
        <f>IFERROR(VLOOKUP(C99,'Big Board (by rank)'!D:F,3,FALSE),"")</f>
        <v>S</v>
      </c>
      <c r="E99" s="17" t="str">
        <f>IFERROR(VLOOKUP(C99,'Big Board (by rank)'!D:J,2,FALSE),"")</f>
        <v>Miami (FL)</v>
      </c>
      <c r="F99" s="16">
        <f>IF(SUMIF('Big Board (by rank)'!D:D,C99,'Big Board (by rank)'!A:A)=0,"",SUMIF('Big Board (by rank)'!D:D,C99,'Big Board (by rank)'!A:A))</f>
        <v>177</v>
      </c>
      <c r="G99" s="18" t="str">
        <f>IFERROR(VLOOKUP(C99,'Big Board (by rank)'!D:J,7,FALSE),"")</f>
        <v>Minnesota Vikings</v>
      </c>
    </row>
    <row r="100">
      <c r="A100" s="16">
        <v>3.0</v>
      </c>
      <c r="B100" s="16">
        <v>99.0</v>
      </c>
      <c r="C100" s="17" t="str">
        <f>IFERROR(VLOOKUP(B100,'Big Board (by pick)'!A:E,5,FALSE),"")</f>
        <v>Julian Neal</v>
      </c>
      <c r="D100" s="17" t="str">
        <f>IFERROR(VLOOKUP(C100,'Big Board (by rank)'!D:F,3,FALSE),"")</f>
        <v>CB</v>
      </c>
      <c r="E100" s="17" t="str">
        <f>IFERROR(VLOOKUP(C100,'Big Board (by rank)'!D:J,2,FALSE),"")</f>
        <v>Arkansas</v>
      </c>
      <c r="F100" s="16">
        <f>IF(SUMIF('Big Board (by rank)'!D:D,C100,'Big Board (by rank)'!A:A)=0,"",SUMIF('Big Board (by rank)'!D:D,C100,'Big Board (by rank)'!A:A))</f>
        <v>104</v>
      </c>
      <c r="G100" s="18" t="str">
        <f>IFERROR(VLOOKUP(C100,'Big Board (by rank)'!D:J,7,FALSE),"")</f>
        <v>Seattle Seahawks</v>
      </c>
    </row>
    <row r="101">
      <c r="A101" s="16">
        <v>3.0</v>
      </c>
      <c r="B101" s="16">
        <v>100.0</v>
      </c>
      <c r="C101" s="17" t="str">
        <f>IFERROR(VLOOKUP(B101,'Big Board (by pick)'!A:E,5,FALSE),"")</f>
        <v>Jalen Huskey</v>
      </c>
      <c r="D101" s="17" t="str">
        <f>IFERROR(VLOOKUP(C101,'Big Board (by rank)'!D:F,3,FALSE),"")</f>
        <v>S</v>
      </c>
      <c r="E101" s="17" t="str">
        <f>IFERROR(VLOOKUP(C101,'Big Board (by rank)'!D:J,2,FALSE),"")</f>
        <v>Maryland</v>
      </c>
      <c r="F101" s="16">
        <f>IF(SUMIF('Big Board (by rank)'!D:D,C101,'Big Board (by rank)'!A:A)=0,"",SUMIF('Big Board (by rank)'!D:D,C101,'Big Board (by rank)'!A:A))</f>
        <v>187</v>
      </c>
      <c r="G101" s="18" t="str">
        <f>IFERROR(VLOOKUP(C101,'Big Board (by rank)'!D:J,7,FALSE),"")</f>
        <v>Jacksonville Jaguars</v>
      </c>
    </row>
    <row r="102">
      <c r="A102" s="16">
        <v>4.0</v>
      </c>
      <c r="B102" s="16">
        <v>101.0</v>
      </c>
      <c r="C102" s="17" t="str">
        <f>IFERROR(VLOOKUP(B102,'Big Board (by pick)'!A:E,5,FALSE),"")</f>
        <v>Jermod McCoy</v>
      </c>
      <c r="D102" s="17" t="str">
        <f>IFERROR(VLOOKUP(C102,'Big Board (by rank)'!D:F,3,FALSE),"")</f>
        <v>CB</v>
      </c>
      <c r="E102" s="17" t="str">
        <f>IFERROR(VLOOKUP(C102,'Big Board (by rank)'!D:J,2,FALSE),"")</f>
        <v>Tennessee</v>
      </c>
      <c r="F102" s="16">
        <f>IF(SUMIF('Big Board (by rank)'!D:D,C102,'Big Board (by rank)'!A:A)=0,"",SUMIF('Big Board (by rank)'!D:D,C102,'Big Board (by rank)'!A:A))</f>
        <v>14</v>
      </c>
      <c r="G102" s="18" t="str">
        <f>IFERROR(VLOOKUP(C102,'Big Board (by rank)'!D:J,7,FALSE),"")</f>
        <v>Las Vegas Raiders</v>
      </c>
    </row>
    <row r="103">
      <c r="A103" s="16">
        <v>4.0</v>
      </c>
      <c r="B103" s="16">
        <v>102.0</v>
      </c>
      <c r="C103" s="17" t="str">
        <f>IFERROR(VLOOKUP(B103,'Big Board (by pick)'!A:E,5,FALSE),"")</f>
        <v>Jude Bowry</v>
      </c>
      <c r="D103" s="17" t="str">
        <f>IFERROR(VLOOKUP(C103,'Big Board (by rank)'!D:F,3,FALSE),"")</f>
        <v>OT</v>
      </c>
      <c r="E103" s="17" t="str">
        <f>IFERROR(VLOOKUP(C103,'Big Board (by rank)'!D:J,2,FALSE),"")</f>
        <v>Boston College</v>
      </c>
      <c r="F103" s="16">
        <f>IF(SUMIF('Big Board (by rank)'!D:D,C103,'Big Board (by rank)'!A:A)=0,"",SUMIF('Big Board (by rank)'!D:D,C103,'Big Board (by rank)'!A:A))</f>
        <v>132</v>
      </c>
      <c r="G103" s="18" t="str">
        <f>IFERROR(VLOOKUP(C103,'Big Board (by rank)'!D:J,7,FALSE),"")</f>
        <v>Buffalo Bills</v>
      </c>
    </row>
    <row r="104">
      <c r="A104" s="16">
        <v>4.0</v>
      </c>
      <c r="B104" s="16">
        <v>103.0</v>
      </c>
      <c r="C104" s="17" t="str">
        <f>IFERROR(VLOOKUP(B104,'Big Board (by pick)'!A:E,5,FALSE),"")</f>
        <v>Darrell Jackson Jr.</v>
      </c>
      <c r="D104" s="17" t="str">
        <f>IFERROR(VLOOKUP(C104,'Big Board (by rank)'!D:F,3,FALSE),"")</f>
        <v>DL3T</v>
      </c>
      <c r="E104" s="17" t="str">
        <f>IFERROR(VLOOKUP(C104,'Big Board (by rank)'!D:J,2,FALSE),"")</f>
        <v>Florida State</v>
      </c>
      <c r="F104" s="16">
        <f>IF(SUMIF('Big Board (by rank)'!D:D,C104,'Big Board (by rank)'!A:A)=0,"",SUMIF('Big Board (by rank)'!D:D,C104,'Big Board (by rank)'!A:A))</f>
        <v>98</v>
      </c>
      <c r="G104" s="18" t="str">
        <f>IFERROR(VLOOKUP(C104,'Big Board (by rank)'!D:J,7,FALSE),"")</f>
        <v>New York Jets</v>
      </c>
    </row>
    <row r="105">
      <c r="A105" s="16">
        <v>4.0</v>
      </c>
      <c r="B105" s="16">
        <v>104.0</v>
      </c>
      <c r="C105" s="17" t="str">
        <f>IFERROR(VLOOKUP(B105,'Big Board (by pick)'!A:E,5,FALSE),"")</f>
        <v>Kaleb Proctor</v>
      </c>
      <c r="D105" s="17" t="str">
        <f>IFERROR(VLOOKUP(C105,'Big Board (by rank)'!D:F,3,FALSE),"")</f>
        <v>DL5T</v>
      </c>
      <c r="E105" s="17" t="str">
        <f>IFERROR(VLOOKUP(C105,'Big Board (by rank)'!D:J,2,FALSE),"")</f>
        <v>SE Louisiana</v>
      </c>
      <c r="F105" s="16">
        <f>IF(SUMIF('Big Board (by rank)'!D:D,C105,'Big Board (by rank)'!A:A)=0,"",SUMIF('Big Board (by rank)'!D:D,C105,'Big Board (by rank)'!A:A))</f>
        <v>123</v>
      </c>
      <c r="G105" s="18" t="str">
        <f>IFERROR(VLOOKUP(C105,'Big Board (by rank)'!D:J,7,FALSE),"")</f>
        <v>Arizona Cardinals</v>
      </c>
    </row>
    <row r="106">
      <c r="A106" s="16">
        <v>4.0</v>
      </c>
      <c r="B106" s="16">
        <v>105.0</v>
      </c>
      <c r="C106" s="17" t="str">
        <f>IFERROR(VLOOKUP(B106,'Big Board (by pick)'!A:E,5,FALSE),"")</f>
        <v>Brenen Thompson</v>
      </c>
      <c r="D106" s="17" t="str">
        <f>IFERROR(VLOOKUP(C106,'Big Board (by rank)'!D:F,3,FALSE),"")</f>
        <v>WR</v>
      </c>
      <c r="E106" s="17" t="str">
        <f>IFERROR(VLOOKUP(C106,'Big Board (by rank)'!D:J,2,FALSE),"")</f>
        <v>Mississippi State</v>
      </c>
      <c r="F106" s="16">
        <f>IF(SUMIF('Big Board (by rank)'!D:D,C106,'Big Board (by rank)'!A:A)=0,"",SUMIF('Big Board (by rank)'!D:D,C106,'Big Board (by rank)'!A:A))</f>
        <v>109</v>
      </c>
      <c r="G106" s="18" t="str">
        <f>IFERROR(VLOOKUP(C106,'Big Board (by rank)'!D:J,7,FALSE),"")</f>
        <v>Los Angeles Chargers</v>
      </c>
    </row>
    <row r="107">
      <c r="A107" s="16">
        <v>4.0</v>
      </c>
      <c r="B107" s="16">
        <v>106.0</v>
      </c>
      <c r="C107" s="17" t="str">
        <f>IFERROR(VLOOKUP(B107,'Big Board (by pick)'!A:E,5,FALSE),"")</f>
        <v>Febechi Nwaiwu</v>
      </c>
      <c r="D107" s="17" t="str">
        <f>IFERROR(VLOOKUP(C107,'Big Board (by rank)'!D:F,3,FALSE),"")</f>
        <v>OG</v>
      </c>
      <c r="E107" s="17" t="str">
        <f>IFERROR(VLOOKUP(C107,'Big Board (by rank)'!D:J,2,FALSE),"")</f>
        <v>Oklahoma</v>
      </c>
      <c r="F107" s="16">
        <f>IF(SUMIF('Big Board (by rank)'!D:D,C107,'Big Board (by rank)'!A:A)=0,"",SUMIF('Big Board (by rank)'!D:D,C107,'Big Board (by rank)'!A:A))</f>
        <v>191</v>
      </c>
      <c r="G107" s="18" t="str">
        <f>IFERROR(VLOOKUP(C107,'Big Board (by rank)'!D:J,7,FALSE),"")</f>
        <v>Houston Texans</v>
      </c>
    </row>
    <row r="108">
      <c r="A108" s="16">
        <v>4.0</v>
      </c>
      <c r="B108" s="16">
        <v>107.0</v>
      </c>
      <c r="C108" s="17" t="str">
        <f>IFERROR(VLOOKUP(B108,'Big Board (by pick)'!A:E,5,FALSE),"")</f>
        <v>Gracen Halton</v>
      </c>
      <c r="D108" s="17" t="str">
        <f>IFERROR(VLOOKUP(C108,'Big Board (by rank)'!D:F,3,FALSE),"")</f>
        <v>DL3T</v>
      </c>
      <c r="E108" s="17" t="str">
        <f>IFERROR(VLOOKUP(C108,'Big Board (by rank)'!D:J,2,FALSE),"")</f>
        <v>Oklahoma</v>
      </c>
      <c r="F108" s="16">
        <f>IF(SUMIF('Big Board (by rank)'!D:D,C108,'Big Board (by rank)'!A:A)=0,"",SUMIF('Big Board (by rank)'!D:D,C108,'Big Board (by rank)'!A:A))</f>
        <v>83</v>
      </c>
      <c r="G108" s="18" t="str">
        <f>IFERROR(VLOOKUP(C108,'Big Board (by rank)'!D:J,7,FALSE),"")</f>
        <v>San Francisco 49ers</v>
      </c>
    </row>
    <row r="109">
      <c r="A109" s="16">
        <v>4.0</v>
      </c>
      <c r="B109" s="16">
        <v>108.0</v>
      </c>
      <c r="C109" s="17" t="str">
        <f>IFERROR(VLOOKUP(B109,'Big Board (by pick)'!A:E,5,FALSE),"")</f>
        <v>Jonah Coleman</v>
      </c>
      <c r="D109" s="17" t="str">
        <f>IFERROR(VLOOKUP(C109,'Big Board (by rank)'!D:F,3,FALSE),"")</f>
        <v>RB</v>
      </c>
      <c r="E109" s="17" t="str">
        <f>IFERROR(VLOOKUP(C109,'Big Board (by rank)'!D:J,2,FALSE),"")</f>
        <v>Washington</v>
      </c>
      <c r="F109" s="16">
        <f>IF(SUMIF('Big Board (by rank)'!D:D,C109,'Big Board (by rank)'!A:A)=0,"",SUMIF('Big Board (by rank)'!D:D,C109,'Big Board (by rank)'!A:A))</f>
        <v>94</v>
      </c>
      <c r="G109" s="18" t="str">
        <f>IFERROR(VLOOKUP(C109,'Big Board (by rank)'!D:J,7,FALSE),"")</f>
        <v>Denver Broncos</v>
      </c>
    </row>
    <row r="110">
      <c r="A110" s="16">
        <v>4.0</v>
      </c>
      <c r="B110" s="16">
        <v>109.0</v>
      </c>
      <c r="C110" s="17" t="str">
        <f>IFERROR(VLOOKUP(B110,'Big Board (by pick)'!A:E,5,FALSE),"")</f>
        <v>Jadon Canady</v>
      </c>
      <c r="D110" s="17" t="str">
        <f>IFERROR(VLOOKUP(C110,'Big Board (by rank)'!D:F,3,FALSE),"")</f>
        <v>CB</v>
      </c>
      <c r="E110" s="17" t="str">
        <f>IFERROR(VLOOKUP(C110,'Big Board (by rank)'!D:J,2,FALSE),"")</f>
        <v>Oregon</v>
      </c>
      <c r="F110" s="16">
        <f>IF(SUMIF('Big Board (by rank)'!D:D,C110,'Big Board (by rank)'!A:A)=0,"",SUMIF('Big Board (by rank)'!D:D,C110,'Big Board (by rank)'!A:A))</f>
        <v>143</v>
      </c>
      <c r="G110" s="18" t="str">
        <f>IFERROR(VLOOKUP(C110,'Big Board (by rank)'!D:J,7,FALSE),"")</f>
        <v>Kansas City Chiefs</v>
      </c>
    </row>
    <row r="111">
      <c r="A111" s="16">
        <v>4.0</v>
      </c>
      <c r="B111" s="16">
        <v>110.0</v>
      </c>
      <c r="C111" s="17" t="str">
        <f>IFERROR(VLOOKUP(B111,'Big Board (by pick)'!A:E,5,FALSE),"")</f>
        <v>Cade Klubnik</v>
      </c>
      <c r="D111" s="17" t="str">
        <f>IFERROR(VLOOKUP(C111,'Big Board (by rank)'!D:F,3,FALSE),"")</f>
        <v>QB</v>
      </c>
      <c r="E111" s="17" t="str">
        <f>IFERROR(VLOOKUP(C111,'Big Board (by rank)'!D:J,2,FALSE),"")</f>
        <v>Clemson</v>
      </c>
      <c r="F111" s="16">
        <f>IF(SUMIF('Big Board (by rank)'!D:D,C111,'Big Board (by rank)'!A:A)=0,"",SUMIF('Big Board (by rank)'!D:D,C111,'Big Board (by rank)'!A:A))</f>
        <v>171</v>
      </c>
      <c r="G111" s="18" t="str">
        <f>IFERROR(VLOOKUP(C111,'Big Board (by rank)'!D:J,7,FALSE),"")</f>
        <v>New York Jets</v>
      </c>
    </row>
    <row r="112">
      <c r="A112" s="16">
        <v>4.0</v>
      </c>
      <c r="B112" s="16">
        <v>111.0</v>
      </c>
      <c r="C112" s="17" t="str">
        <f>IFERROR(VLOOKUP(B112,'Big Board (by pick)'!A:E,5,FALSE),"")</f>
        <v>Kage Casey</v>
      </c>
      <c r="D112" s="17" t="str">
        <f>IFERROR(VLOOKUP(C112,'Big Board (by rank)'!D:F,3,FALSE),"")</f>
        <v>OG</v>
      </c>
      <c r="E112" s="17" t="str">
        <f>IFERROR(VLOOKUP(C112,'Big Board (by rank)'!D:J,2,FALSE),"")</f>
        <v>Boise State</v>
      </c>
      <c r="F112" s="16">
        <f>IF(SUMIF('Big Board (by rank)'!D:D,C112,'Big Board (by rank)'!A:A)=0,"",SUMIF('Big Board (by rank)'!D:D,C112,'Big Board (by rank)'!A:A))</f>
        <v>131</v>
      </c>
      <c r="G112" s="18" t="str">
        <f>IFERROR(VLOOKUP(C112,'Big Board (by rank)'!D:J,7,FALSE),"")</f>
        <v>Denver Broncos</v>
      </c>
    </row>
    <row r="113">
      <c r="A113" s="16">
        <v>4.0</v>
      </c>
      <c r="B113" s="16">
        <v>112.0</v>
      </c>
      <c r="C113" s="17" t="str">
        <f>IFERROR(VLOOKUP(B113,'Big Board (by pick)'!A:E,5,FALSE),"")</f>
        <v>Drew Shelton</v>
      </c>
      <c r="D113" s="17" t="str">
        <f>IFERROR(VLOOKUP(C113,'Big Board (by rank)'!D:F,3,FALSE),"")</f>
        <v>OT</v>
      </c>
      <c r="E113" s="17" t="str">
        <f>IFERROR(VLOOKUP(C113,'Big Board (by rank)'!D:J,2,FALSE),"")</f>
        <v>Penn State</v>
      </c>
      <c r="F113" s="16">
        <f>IF(SUMIF('Big Board (by rank)'!D:D,C113,'Big Board (by rank)'!A:A)=0,"",SUMIF('Big Board (by rank)'!D:D,C113,'Big Board (by rank)'!A:A))</f>
        <v>156</v>
      </c>
      <c r="G113" s="18" t="str">
        <f>IFERROR(VLOOKUP(C113,'Big Board (by rank)'!D:J,7,FALSE),"")</f>
        <v>Dallas Cowboys</v>
      </c>
    </row>
    <row r="114">
      <c r="A114" s="16">
        <v>4.0</v>
      </c>
      <c r="B114" s="16">
        <v>113.0</v>
      </c>
      <c r="C114" s="17" t="str">
        <f>IFERROR(VLOOKUP(B114,'Big Board (by pick)'!A:E,5,FALSE),"")</f>
        <v>Jalen Farmer</v>
      </c>
      <c r="D114" s="17" t="str">
        <f>IFERROR(VLOOKUP(C114,'Big Board (by rank)'!D:F,3,FALSE),"")</f>
        <v>OG</v>
      </c>
      <c r="E114" s="17" t="str">
        <f>IFERROR(VLOOKUP(C114,'Big Board (by rank)'!D:J,2,FALSE),"")</f>
        <v>Kentucky</v>
      </c>
      <c r="F114" s="16">
        <f>IF(SUMIF('Big Board (by rank)'!D:D,C114,'Big Board (by rank)'!A:A)=0,"",SUMIF('Big Board (by rank)'!D:D,C114,'Big Board (by rank)'!A:A))</f>
        <v>106</v>
      </c>
      <c r="G114" s="18" t="str">
        <f>IFERROR(VLOOKUP(C114,'Big Board (by rank)'!D:J,7,FALSE),"")</f>
        <v>Indianapolis Colts</v>
      </c>
    </row>
    <row r="115">
      <c r="A115" s="16">
        <v>4.0</v>
      </c>
      <c r="B115" s="16">
        <v>114.0</v>
      </c>
      <c r="C115" s="17" t="str">
        <f>IFERROR(VLOOKUP(B115,'Big Board (by pick)'!A:E,5,FALSE),"")</f>
        <v>Devin Moore</v>
      </c>
      <c r="D115" s="17" t="str">
        <f>IFERROR(VLOOKUP(C115,'Big Board (by rank)'!D:F,3,FALSE),"")</f>
        <v>CB</v>
      </c>
      <c r="E115" s="17" t="str">
        <f>IFERROR(VLOOKUP(C115,'Big Board (by rank)'!D:J,2,FALSE),"")</f>
        <v>Florida</v>
      </c>
      <c r="F115" s="16">
        <f>IF(SUMIF('Big Board (by rank)'!D:D,C115,'Big Board (by rank)'!A:A)=0,"",SUMIF('Big Board (by rank)'!D:D,C115,'Big Board (by rank)'!A:A))</f>
        <v>107</v>
      </c>
      <c r="G115" s="18" t="str">
        <f>IFERROR(VLOOKUP(C115,'Big Board (by rank)'!D:J,7,FALSE),"")</f>
        <v>Dallas Cowboys</v>
      </c>
    </row>
    <row r="116">
      <c r="A116" s="16">
        <v>4.0</v>
      </c>
      <c r="B116" s="16">
        <v>115.0</v>
      </c>
      <c r="C116" s="17" t="str">
        <f>IFERROR(VLOOKUP(B116,'Big Board (by pick)'!A:E,5,FALSE),"")</f>
        <v>Elijah Sarratt</v>
      </c>
      <c r="D116" s="17" t="str">
        <f>IFERROR(VLOOKUP(C116,'Big Board (by rank)'!D:F,3,FALSE),"")</f>
        <v>WR</v>
      </c>
      <c r="E116" s="17" t="str">
        <f>IFERROR(VLOOKUP(C116,'Big Board (by rank)'!D:J,2,FALSE),"")</f>
        <v>Indiana</v>
      </c>
      <c r="F116" s="16">
        <f>IF(SUMIF('Big Board (by rank)'!D:D,C116,'Big Board (by rank)'!A:A)=0,"",SUMIF('Big Board (by rank)'!D:D,C116,'Big Board (by rank)'!A:A))</f>
        <v>69</v>
      </c>
      <c r="G116" s="18" t="str">
        <f>IFERROR(VLOOKUP(C116,'Big Board (by rank)'!D:J,7,FALSE),"")</f>
        <v>Baltimore Ravens</v>
      </c>
    </row>
    <row r="117">
      <c r="A117" s="16">
        <v>4.0</v>
      </c>
      <c r="B117" s="16">
        <v>116.0</v>
      </c>
      <c r="C117" s="17" t="str">
        <f>IFERROR(VLOOKUP(B117,'Big Board (by pick)'!A:E,5,FALSE),"")</f>
        <v>Keionte Scott</v>
      </c>
      <c r="D117" s="17" t="str">
        <f>IFERROR(VLOOKUP(C117,'Big Board (by rank)'!D:F,3,FALSE),"")</f>
        <v>CB</v>
      </c>
      <c r="E117" s="17" t="str">
        <f>IFERROR(VLOOKUP(C117,'Big Board (by rank)'!D:J,2,FALSE),"")</f>
        <v>Miami (FL)</v>
      </c>
      <c r="F117" s="16">
        <f>IF(SUMIF('Big Board (by rank)'!D:D,C117,'Big Board (by rank)'!A:A)=0,"",SUMIF('Big Board (by rank)'!D:D,C117,'Big Board (by rank)'!A:A))</f>
        <v>55</v>
      </c>
      <c r="G117" s="18" t="str">
        <f>IFERROR(VLOOKUP(C117,'Big Board (by rank)'!D:J,7,FALSE),"")</f>
        <v>Tampa Bay Buccaneers</v>
      </c>
    </row>
    <row r="118">
      <c r="A118" s="16">
        <v>4.0</v>
      </c>
      <c r="B118" s="16">
        <v>117.0</v>
      </c>
      <c r="C118" s="17" t="str">
        <f>IFERROR(VLOOKUP(B118,'Big Board (by pick)'!A:E,5,FALSE),"")</f>
        <v>Travis Burke</v>
      </c>
      <c r="D118" s="17" t="str">
        <f>IFERROR(VLOOKUP(C118,'Big Board (by rank)'!D:F,3,FALSE),"")</f>
        <v>OT</v>
      </c>
      <c r="E118" s="17" t="str">
        <f>IFERROR(VLOOKUP(C118,'Big Board (by rank)'!D:J,2,FALSE),"")</f>
        <v>Memphis</v>
      </c>
      <c r="F118" s="16">
        <f>IF(SUMIF('Big Board (by rank)'!D:D,C118,'Big Board (by rank)'!A:A)=0,"",SUMIF('Big Board (by rank)'!D:D,C118,'Big Board (by rank)'!A:A))</f>
        <v>136</v>
      </c>
      <c r="G118" s="18" t="str">
        <f>IFERROR(VLOOKUP(C118,'Big Board (by rank)'!D:J,7,FALSE),"")</f>
        <v>Los Angeles Chargers</v>
      </c>
    </row>
    <row r="119">
      <c r="A119" s="16">
        <v>4.0</v>
      </c>
      <c r="B119" s="16">
        <v>118.0</v>
      </c>
      <c r="C119" s="17" t="str">
        <f>IFERROR(VLOOKUP(B119,'Big Board (by pick)'!A:E,5,FALSE),"")</f>
        <v>Jimmy Rolder</v>
      </c>
      <c r="D119" s="17" t="str">
        <f>IFERROR(VLOOKUP(C119,'Big Board (by rank)'!D:F,3,FALSE),"")</f>
        <v>LB</v>
      </c>
      <c r="E119" s="17" t="str">
        <f>IFERROR(VLOOKUP(C119,'Big Board (by rank)'!D:J,2,FALSE),"")</f>
        <v>Michigan</v>
      </c>
      <c r="F119" s="16">
        <f>IF(SUMIF('Big Board (by rank)'!D:D,C119,'Big Board (by rank)'!A:A)=0,"",SUMIF('Big Board (by rank)'!D:D,C119,'Big Board (by rank)'!A:A))</f>
        <v>167</v>
      </c>
      <c r="G119" s="18" t="str">
        <f>IFERROR(VLOOKUP(C119,'Big Board (by rank)'!D:J,7,FALSE),"")</f>
        <v>Detroit Lions</v>
      </c>
    </row>
    <row r="120">
      <c r="A120" s="16">
        <v>4.0</v>
      </c>
      <c r="B120" s="16">
        <v>119.0</v>
      </c>
      <c r="C120" s="17" t="str">
        <f>IFERROR(VLOOKUP(B120,'Big Board (by pick)'!A:E,5,FALSE),"")</f>
        <v>Wesley Williams</v>
      </c>
      <c r="D120" s="17" t="str">
        <f>IFERROR(VLOOKUP(C120,'Big Board (by rank)'!D:F,3,FALSE),"")</f>
        <v>EDGE</v>
      </c>
      <c r="E120" s="17" t="str">
        <f>IFERROR(VLOOKUP(C120,'Big Board (by rank)'!D:J,2,FALSE),"")</f>
        <v>Duke</v>
      </c>
      <c r="F120" s="16">
        <f>IF(SUMIF('Big Board (by rank)'!D:D,C120,'Big Board (by rank)'!A:A)=0,"",SUMIF('Big Board (by rank)'!D:D,C120,'Big Board (by rank)'!A:A))</f>
        <v>236</v>
      </c>
      <c r="G120" s="18" t="str">
        <f>IFERROR(VLOOKUP(C120,'Big Board (by rank)'!D:J,7,FALSE),"")</f>
        <v>Jacksonville Jaguars</v>
      </c>
    </row>
    <row r="121">
      <c r="A121" s="16">
        <v>4.0</v>
      </c>
      <c r="B121" s="16">
        <v>120.0</v>
      </c>
      <c r="C121" s="17" t="str">
        <f>IFERROR(VLOOKUP(B121,'Big Board (by pick)'!A:E,5,FALSE),"")</f>
        <v>Dani Dennis-Sutton</v>
      </c>
      <c r="D121" s="17" t="str">
        <f>IFERROR(VLOOKUP(C121,'Big Board (by rank)'!D:F,3,FALSE),"")</f>
        <v>EDGE</v>
      </c>
      <c r="E121" s="17" t="str">
        <f>IFERROR(VLOOKUP(C121,'Big Board (by rank)'!D:J,2,FALSE),"")</f>
        <v>Penn State</v>
      </c>
      <c r="F121" s="16">
        <f>IF(SUMIF('Big Board (by rank)'!D:D,C121,'Big Board (by rank)'!A:A)=0,"",SUMIF('Big Board (by rank)'!D:D,C121,'Big Board (by rank)'!A:A))</f>
        <v>72</v>
      </c>
      <c r="G121" s="18" t="str">
        <f>IFERROR(VLOOKUP(C121,'Big Board (by rank)'!D:J,7,FALSE),"")</f>
        <v>Green Bay Packers</v>
      </c>
    </row>
    <row r="122">
      <c r="A122" s="16">
        <v>4.0</v>
      </c>
      <c r="B122" s="16">
        <v>121.0</v>
      </c>
      <c r="C122" s="17" t="str">
        <f>IFERROR(VLOOKUP(B122,'Big Board (by pick)'!A:E,5,FALSE),"")</f>
        <v>Kaden Wetjen</v>
      </c>
      <c r="D122" s="17" t="str">
        <f>IFERROR(VLOOKUP(C122,'Big Board (by rank)'!D:F,3,FALSE),"")</f>
        <v>WR</v>
      </c>
      <c r="E122" s="17" t="str">
        <f>IFERROR(VLOOKUP(C122,'Big Board (by rank)'!D:J,2,FALSE),"")</f>
        <v>Iowa</v>
      </c>
      <c r="F122" s="16">
        <f>IF(SUMIF('Big Board (by rank)'!D:D,C122,'Big Board (by rank)'!A:A)=0,"",SUMIF('Big Board (by rank)'!D:D,C122,'Big Board (by rank)'!A:A))</f>
        <v>253</v>
      </c>
      <c r="G122" s="18" t="str">
        <f>IFERROR(VLOOKUP(C122,'Big Board (by rank)'!D:J,7,FALSE),"")</f>
        <v>Pittsburgh Steelers</v>
      </c>
    </row>
    <row r="123">
      <c r="A123" s="16">
        <v>4.0</v>
      </c>
      <c r="B123" s="16">
        <v>122.0</v>
      </c>
      <c r="C123" s="17" t="str">
        <f>IFERROR(VLOOKUP(B123,'Big Board (by pick)'!A:E,5,FALSE),"")</f>
        <v>Mike Washington Jr.</v>
      </c>
      <c r="D123" s="17" t="str">
        <f>IFERROR(VLOOKUP(C123,'Big Board (by rank)'!D:F,3,FALSE),"")</f>
        <v>RB</v>
      </c>
      <c r="E123" s="17" t="str">
        <f>IFERROR(VLOOKUP(C123,'Big Board (by rank)'!D:J,2,FALSE),"")</f>
        <v>Arkansas</v>
      </c>
      <c r="F123" s="16">
        <f>IF(SUMIF('Big Board (by rank)'!D:D,C123,'Big Board (by rank)'!A:A)=0,"",SUMIF('Big Board (by rank)'!D:D,C123,'Big Board (by rank)'!A:A))</f>
        <v>74</v>
      </c>
      <c r="G123" s="18" t="str">
        <f>IFERROR(VLOOKUP(C123,'Big Board (by rank)'!D:J,7,FALSE),"")</f>
        <v>Las Vegas Raiders</v>
      </c>
    </row>
    <row r="124">
      <c r="A124" s="16">
        <v>4.0</v>
      </c>
      <c r="B124" s="16">
        <v>123.0</v>
      </c>
      <c r="C124" s="17" t="str">
        <f>IFERROR(VLOOKUP(B124,'Big Board (by pick)'!A:E,5,FALSE),"")</f>
        <v>Wade Woodaz</v>
      </c>
      <c r="D124" s="17" t="str">
        <f>IFERROR(VLOOKUP(C124,'Big Board (by rank)'!D:F,3,FALSE),"")</f>
        <v>LB</v>
      </c>
      <c r="E124" s="17" t="str">
        <f>IFERROR(VLOOKUP(C124,'Big Board (by rank)'!D:J,2,FALSE),"")</f>
        <v>Clemson</v>
      </c>
      <c r="F124" s="16">
        <f>IF(SUMIF('Big Board (by rank)'!D:D,C124,'Big Board (by rank)'!A:A)=0,"",SUMIF('Big Board (by rank)'!D:D,C124,'Big Board (by rank)'!A:A))</f>
        <v>281</v>
      </c>
      <c r="G124" s="18" t="str">
        <f>IFERROR(VLOOKUP(C124,'Big Board (by rank)'!D:J,7,FALSE),"")</f>
        <v>Houston Texans</v>
      </c>
    </row>
    <row r="125">
      <c r="A125" s="16">
        <v>4.0</v>
      </c>
      <c r="B125" s="16">
        <v>124.0</v>
      </c>
      <c r="C125" s="17" t="str">
        <f>IFERROR(VLOOKUP(B125,'Big Board (by pick)'!A:E,5,FALSE),"")</f>
        <v>Malik Muhammad</v>
      </c>
      <c r="D125" s="17" t="str">
        <f>IFERROR(VLOOKUP(C125,'Big Board (by rank)'!D:F,3,FALSE),"")</f>
        <v>CB</v>
      </c>
      <c r="E125" s="17" t="str">
        <f>IFERROR(VLOOKUP(C125,'Big Board (by rank)'!D:J,2,FALSE),"")</f>
        <v>Texas</v>
      </c>
      <c r="F125" s="16">
        <f>IF(SUMIF('Big Board (by rank)'!D:D,C125,'Big Board (by rank)'!A:A)=0,"",SUMIF('Big Board (by rank)'!D:D,C125,'Big Board (by rank)'!A:A))</f>
        <v>89</v>
      </c>
      <c r="G125" s="18" t="str">
        <f>IFERROR(VLOOKUP(C125,'Big Board (by rank)'!D:J,7,FALSE),"")</f>
        <v>Chicago Bears</v>
      </c>
    </row>
    <row r="126">
      <c r="A126" s="16">
        <v>4.0</v>
      </c>
      <c r="B126" s="16">
        <v>125.0</v>
      </c>
      <c r="C126" s="17" t="str">
        <f>IFERROR(VLOOKUP(B126,'Big Board (by pick)'!A:E,5,FALSE),"")</f>
        <v>Skyler Bell</v>
      </c>
      <c r="D126" s="17" t="str">
        <f>IFERROR(VLOOKUP(C126,'Big Board (by rank)'!D:F,3,FALSE),"")</f>
        <v>WR</v>
      </c>
      <c r="E126" s="17" t="str">
        <f>IFERROR(VLOOKUP(C126,'Big Board (by rank)'!D:J,2,FALSE),"")</f>
        <v>UConn</v>
      </c>
      <c r="F126" s="16">
        <f>IF(SUMIF('Big Board (by rank)'!D:D,C126,'Big Board (by rank)'!A:A)=0,"",SUMIF('Big Board (by rank)'!D:D,C126,'Big Board (by rank)'!A:A))</f>
        <v>84</v>
      </c>
      <c r="G126" s="18" t="str">
        <f>IFERROR(VLOOKUP(C126,'Big Board (by rank)'!D:J,7,FALSE),"")</f>
        <v>Buffalo Bills</v>
      </c>
    </row>
    <row r="127">
      <c r="A127" s="16">
        <v>4.0</v>
      </c>
      <c r="B127" s="16">
        <v>126.0</v>
      </c>
      <c r="C127" s="17" t="str">
        <f>IFERROR(VLOOKUP(B127,'Big Board (by pick)'!A:E,5,FALSE),"")</f>
        <v>Kaleb Elarms-Orr</v>
      </c>
      <c r="D127" s="17" t="str">
        <f>IFERROR(VLOOKUP(C127,'Big Board (by rank)'!D:F,3,FALSE),"")</f>
        <v>LB</v>
      </c>
      <c r="E127" s="17" t="str">
        <f>IFERROR(VLOOKUP(C127,'Big Board (by rank)'!D:J,2,FALSE),"")</f>
        <v>TCU</v>
      </c>
      <c r="F127" s="16">
        <f>IF(SUMIF('Big Board (by rank)'!D:D,C127,'Big Board (by rank)'!A:A)=0,"",SUMIF('Big Board (by rank)'!D:D,C127,'Big Board (by rank)'!A:A))</f>
        <v>138</v>
      </c>
      <c r="G127" s="18" t="str">
        <f>IFERROR(VLOOKUP(C127,'Big Board (by rank)'!D:J,7,FALSE),"")</f>
        <v>Buffalo Bills</v>
      </c>
    </row>
    <row r="128">
      <c r="A128" s="16">
        <v>4.0</v>
      </c>
      <c r="B128" s="16">
        <v>127.0</v>
      </c>
      <c r="C128" s="17" t="str">
        <f>IFERROR(VLOOKUP(B128,'Big Board (by pick)'!A:E,5,FALSE),"")</f>
        <v>Carver Willis</v>
      </c>
      <c r="D128" s="17" t="str">
        <f>IFERROR(VLOOKUP(C128,'Big Board (by rank)'!D:F,3,FALSE),"")</f>
        <v>OG</v>
      </c>
      <c r="E128" s="17" t="str">
        <f>IFERROR(VLOOKUP(C128,'Big Board (by rank)'!D:J,2,FALSE),"")</f>
        <v>Washington</v>
      </c>
      <c r="F128" s="16">
        <f>IF(SUMIF('Big Board (by rank)'!D:D,C128,'Big Board (by rank)'!A:A)=0,"",SUMIF('Big Board (by rank)'!D:D,C128,'Big Board (by rank)'!A:A))</f>
        <v>232</v>
      </c>
      <c r="G128" s="18" t="str">
        <f>IFERROR(VLOOKUP(C128,'Big Board (by rank)'!D:J,7,FALSE),"")</f>
        <v>San Francisco 49ers</v>
      </c>
    </row>
    <row r="129">
      <c r="A129" s="16">
        <v>4.0</v>
      </c>
      <c r="B129" s="16">
        <v>128.0</v>
      </c>
      <c r="C129" s="17" t="str">
        <f>IFERROR(VLOOKUP(B129,'Big Board (by pick)'!A:E,5,FALSE),"")</f>
        <v>Connor Lew</v>
      </c>
      <c r="D129" s="17" t="str">
        <f>IFERROR(VLOOKUP(C129,'Big Board (by rank)'!D:F,3,FALSE),"")</f>
        <v>OC</v>
      </c>
      <c r="E129" s="17" t="str">
        <f>IFERROR(VLOOKUP(C129,'Big Board (by rank)'!D:J,2,FALSE),"")</f>
        <v>Auburn</v>
      </c>
      <c r="F129" s="16">
        <f>IF(SUMIF('Big Board (by rank)'!D:D,C129,'Big Board (by rank)'!A:A)=0,"",SUMIF('Big Board (by rank)'!D:D,C129,'Big Board (by rank)'!A:A))</f>
        <v>76</v>
      </c>
      <c r="G129" s="18" t="str">
        <f>IFERROR(VLOOKUP(C129,'Big Board (by rank)'!D:J,7,FALSE),"")</f>
        <v>Cincinnati Bengals</v>
      </c>
    </row>
    <row r="130">
      <c r="A130" s="16">
        <v>4.0</v>
      </c>
      <c r="B130" s="16">
        <v>129.0</v>
      </c>
      <c r="C130" s="17" t="str">
        <f>IFERROR(VLOOKUP(B130,'Big Board (by pick)'!A:E,5,FALSE),"")</f>
        <v>Will Lee III</v>
      </c>
      <c r="D130" s="17" t="str">
        <f>IFERROR(VLOOKUP(C130,'Big Board (by rank)'!D:F,3,FALSE),"")</f>
        <v>CB</v>
      </c>
      <c r="E130" s="17" t="str">
        <f>IFERROR(VLOOKUP(C130,'Big Board (by rank)'!D:J,2,FALSE),"")</f>
        <v>Texas A&amp;M</v>
      </c>
      <c r="F130" s="16">
        <f>IF(SUMIF('Big Board (by rank)'!D:D,C130,'Big Board (by rank)'!A:A)=0,"",SUMIF('Big Board (by rank)'!D:D,C130,'Big Board (by rank)'!A:A))</f>
        <v>119</v>
      </c>
      <c r="G130" s="18" t="str">
        <f>IFERROR(VLOOKUP(C130,'Big Board (by rank)'!D:J,7,FALSE),"")</f>
        <v>Carolina Panthers</v>
      </c>
    </row>
    <row r="131">
      <c r="A131" s="16">
        <v>4.0</v>
      </c>
      <c r="B131" s="16">
        <v>130.0</v>
      </c>
      <c r="C131" s="17" t="str">
        <f>IFERROR(VLOOKUP(B131,'Big Board (by pick)'!A:E,5,FALSE),"")</f>
        <v>Trey Moore</v>
      </c>
      <c r="D131" s="17" t="str">
        <f>IFERROR(VLOOKUP(C131,'Big Board (by rank)'!D:F,3,FALSE),"")</f>
        <v>EDGE</v>
      </c>
      <c r="E131" s="17" t="str">
        <f>IFERROR(VLOOKUP(C131,'Big Board (by rank)'!D:J,2,FALSE),"")</f>
        <v>Texas</v>
      </c>
      <c r="F131" s="16">
        <f>IF(SUMIF('Big Board (by rank)'!D:D,C131,'Big Board (by rank)'!A:A)=0,"",SUMIF('Big Board (by rank)'!D:D,C131,'Big Board (by rank)'!A:A))</f>
        <v>207</v>
      </c>
      <c r="G131" s="18" t="str">
        <f>IFERROR(VLOOKUP(C131,'Big Board (by rank)'!D:J,7,FALSE),"")</f>
        <v>Miami Dolphins</v>
      </c>
    </row>
    <row r="132">
      <c r="A132" s="16">
        <v>4.0</v>
      </c>
      <c r="B132" s="16">
        <v>131.0</v>
      </c>
      <c r="C132" s="17" t="str">
        <f>IFERROR(VLOOKUP(B132,'Big Board (by pick)'!A:E,5,FALSE),"")</f>
        <v>Genesis Smith</v>
      </c>
      <c r="D132" s="17" t="str">
        <f>IFERROR(VLOOKUP(C132,'Big Board (by rank)'!D:F,3,FALSE),"")</f>
        <v>S</v>
      </c>
      <c r="E132" s="17" t="str">
        <f>IFERROR(VLOOKUP(C132,'Big Board (by rank)'!D:J,2,FALSE),"")</f>
        <v>Arizona</v>
      </c>
      <c r="F132" s="16">
        <f>IF(SUMIF('Big Board (by rank)'!D:D,C132,'Big Board (by rank)'!A:A)=0,"",SUMIF('Big Board (by rank)'!D:D,C132,'Big Board (by rank)'!A:A))</f>
        <v>97</v>
      </c>
      <c r="G132" s="18" t="str">
        <f>IFERROR(VLOOKUP(C132,'Big Board (by rank)'!D:J,7,FALSE),"")</f>
        <v>Los Angeles Chargers</v>
      </c>
    </row>
    <row r="133">
      <c r="A133" s="16">
        <v>4.0</v>
      </c>
      <c r="B133" s="16">
        <v>132.0</v>
      </c>
      <c r="C133" s="17" t="str">
        <f>IFERROR(VLOOKUP(B133,'Big Board (by pick)'!A:E,5,FALSE),"")</f>
        <v>Jeremiah Wright</v>
      </c>
      <c r="D133" s="17" t="str">
        <f>IFERROR(VLOOKUP(C133,'Big Board (by rank)'!D:F,3,FALSE),"")</f>
        <v>OG</v>
      </c>
      <c r="E133" s="17" t="str">
        <f>IFERROR(VLOOKUP(C133,'Big Board (by rank)'!D:J,2,FALSE),"")</f>
        <v>Auburn</v>
      </c>
      <c r="F133" s="16">
        <f>IF(SUMIF('Big Board (by rank)'!D:D,C133,'Big Board (by rank)'!A:A)=0,"",SUMIF('Big Board (by rank)'!D:D,C133,'Big Board (by rank)'!A:A))</f>
        <v>180</v>
      </c>
      <c r="G133" s="18" t="str">
        <f>IFERROR(VLOOKUP(C133,'Big Board (by rank)'!D:J,7,FALSE),"")</f>
        <v>New Orleans Saints</v>
      </c>
    </row>
    <row r="134">
      <c r="A134" s="16">
        <v>4.0</v>
      </c>
      <c r="B134" s="16">
        <v>133.0</v>
      </c>
      <c r="C134" s="17" t="str">
        <f>IFERROR(VLOOKUP(B134,'Big Board (by pick)'!A:E,5,FALSE),"")</f>
        <v>Matthew Hibner</v>
      </c>
      <c r="D134" s="17" t="str">
        <f>IFERROR(VLOOKUP(C134,'Big Board (by rank)'!D:F,3,FALSE),"")</f>
        <v>TE</v>
      </c>
      <c r="E134" s="17" t="str">
        <f>IFERROR(VLOOKUP(C134,'Big Board (by rank)'!D:J,2,FALSE),"")</f>
        <v>SMU</v>
      </c>
      <c r="F134" s="16">
        <f>IF(SUMIF('Big Board (by rank)'!D:D,C134,'Big Board (by rank)'!A:A)=0,"",SUMIF('Big Board (by rank)'!D:D,C134,'Big Board (by rank)'!A:A))</f>
        <v>241</v>
      </c>
      <c r="G134" s="18" t="str">
        <f>IFERROR(VLOOKUP(C134,'Big Board (by rank)'!D:J,7,FALSE),"")</f>
        <v>Baltimore Ravens</v>
      </c>
    </row>
    <row r="135">
      <c r="A135" s="16">
        <v>4.0</v>
      </c>
      <c r="B135" s="16">
        <v>134.0</v>
      </c>
      <c r="C135" s="17" t="str">
        <f>IFERROR(VLOOKUP(B135,'Big Board (by pick)'!A:E,5,FALSE),"")</f>
        <v>Kendal Daniels</v>
      </c>
      <c r="D135" s="17" t="str">
        <f>IFERROR(VLOOKUP(C135,'Big Board (by rank)'!D:F,3,FALSE),"")</f>
        <v>LB</v>
      </c>
      <c r="E135" s="17" t="str">
        <f>IFERROR(VLOOKUP(C135,'Big Board (by rank)'!D:J,2,FALSE),"")</f>
        <v>Oklahoma</v>
      </c>
      <c r="F135" s="16">
        <f>IF(SUMIF('Big Board (by rank)'!D:D,C135,'Big Board (by rank)'!A:A)=0,"",SUMIF('Big Board (by rank)'!D:D,C135,'Big Board (by rank)'!A:A))</f>
        <v>234</v>
      </c>
      <c r="G135" s="18" t="str">
        <f>IFERROR(VLOOKUP(C135,'Big Board (by rank)'!D:J,7,FALSE),"")</f>
        <v>Atlanta Falcons</v>
      </c>
    </row>
    <row r="136">
      <c r="A136" s="16">
        <v>4.0</v>
      </c>
      <c r="B136" s="16">
        <v>135.0</v>
      </c>
      <c r="C136" s="17" t="str">
        <f>IFERROR(VLOOKUP(B136,'Big Board (by pick)'!A:E,5,FALSE),"")</f>
        <v>Bryce Boettcher</v>
      </c>
      <c r="D136" s="17" t="str">
        <f>IFERROR(VLOOKUP(C136,'Big Board (by rank)'!D:F,3,FALSE),"")</f>
        <v>LB</v>
      </c>
      <c r="E136" s="17" t="str">
        <f>IFERROR(VLOOKUP(C136,'Big Board (by rank)'!D:J,2,FALSE),"")</f>
        <v>Oregon</v>
      </c>
      <c r="F136" s="16">
        <f>IF(SUMIF('Big Board (by rank)'!D:D,C136,'Big Board (by rank)'!A:A)=0,"",SUMIF('Big Board (by rank)'!D:D,C136,'Big Board (by rank)'!A:A))</f>
        <v>147</v>
      </c>
      <c r="G136" s="18" t="str">
        <f>IFERROR(VLOOKUP(C136,'Big Board (by rank)'!D:J,7,FALSE),"")</f>
        <v>Indianapolis Colts</v>
      </c>
    </row>
    <row r="137">
      <c r="A137" s="16">
        <v>4.0</v>
      </c>
      <c r="B137" s="16">
        <v>136.0</v>
      </c>
      <c r="C137" s="17" t="str">
        <f>IFERROR(VLOOKUP(B137,'Big Board (by pick)'!A:E,5,FALSE),"")</f>
        <v>Bryce Lance</v>
      </c>
      <c r="D137" s="17" t="str">
        <f>IFERROR(VLOOKUP(C137,'Big Board (by rank)'!D:F,3,FALSE),"")</f>
        <v>WR</v>
      </c>
      <c r="E137" s="17" t="str">
        <f>IFERROR(VLOOKUP(C137,'Big Board (by rank)'!D:J,2,FALSE),"")</f>
        <v>NDSU</v>
      </c>
      <c r="F137" s="16">
        <f>IF(SUMIF('Big Board (by rank)'!D:D,C137,'Big Board (by rank)'!A:A)=0,"",SUMIF('Big Board (by rank)'!D:D,C137,'Big Board (by rank)'!A:A))</f>
        <v>87</v>
      </c>
      <c r="G137" s="18" t="str">
        <f>IFERROR(VLOOKUP(C137,'Big Board (by rank)'!D:J,7,FALSE),"")</f>
        <v>New Orleans Saints</v>
      </c>
    </row>
    <row r="138">
      <c r="A138" s="16">
        <v>4.0</v>
      </c>
      <c r="B138" s="16">
        <v>137.0</v>
      </c>
      <c r="C138" s="17" t="str">
        <f>IFERROR(VLOOKUP(B138,'Big Board (by pick)'!A:E,5,FALSE),"")</f>
        <v>LT Overton</v>
      </c>
      <c r="D138" s="17" t="str">
        <f>IFERROR(VLOOKUP(C138,'Big Board (by rank)'!D:F,3,FALSE),"")</f>
        <v>EDGE</v>
      </c>
      <c r="E138" s="17" t="str">
        <f>IFERROR(VLOOKUP(C138,'Big Board (by rank)'!D:J,2,FALSE),"")</f>
        <v>Alabama</v>
      </c>
      <c r="F138" s="16">
        <f>IF(SUMIF('Big Board (by rank)'!D:D,C138,'Big Board (by rank)'!A:A)=0,"",SUMIF('Big Board (by rank)'!D:D,C138,'Big Board (by rank)'!A:A))</f>
        <v>112</v>
      </c>
      <c r="G138" s="18" t="str">
        <f>IFERROR(VLOOKUP(C138,'Big Board (by rank)'!D:J,7,FALSE),"")</f>
        <v>Dallas Cowboys</v>
      </c>
    </row>
    <row r="139">
      <c r="A139" s="16">
        <v>4.0</v>
      </c>
      <c r="B139" s="16">
        <v>138.0</v>
      </c>
      <c r="C139" s="17" t="str">
        <f>IFERROR(VLOOKUP(B139,'Big Board (by pick)'!A:E,5,FALSE),"")</f>
        <v>Kyle Louis</v>
      </c>
      <c r="D139" s="17" t="str">
        <f>IFERROR(VLOOKUP(C139,'Big Board (by rank)'!D:F,3,FALSE),"")</f>
        <v>LB</v>
      </c>
      <c r="E139" s="17" t="str">
        <f>IFERROR(VLOOKUP(C139,'Big Board (by rank)'!D:J,2,FALSE),"")</f>
        <v>Pitt</v>
      </c>
      <c r="F139" s="16">
        <f>IF(SUMIF('Big Board (by rank)'!D:D,C139,'Big Board (by rank)'!A:A)=0,"",SUMIF('Big Board (by rank)'!D:D,C139,'Big Board (by rank)'!A:A))</f>
        <v>68</v>
      </c>
      <c r="G139" s="18" t="str">
        <f>IFERROR(VLOOKUP(C139,'Big Board (by rank)'!D:J,7,FALSE),"")</f>
        <v>Miami Dolphins</v>
      </c>
    </row>
    <row r="140">
      <c r="A140" s="16">
        <v>4.0</v>
      </c>
      <c r="B140" s="16">
        <v>139.0</v>
      </c>
      <c r="C140" s="17" t="str">
        <f>IFERROR(VLOOKUP(B140,'Big Board (by pick)'!A:E,5,FALSE),"")</f>
        <v>Ephesians Prysock</v>
      </c>
      <c r="D140" s="17" t="str">
        <f>IFERROR(VLOOKUP(C140,'Big Board (by rank)'!D:F,3,FALSE),"")</f>
        <v>CB</v>
      </c>
      <c r="E140" s="17" t="str">
        <f>IFERROR(VLOOKUP(C140,'Big Board (by rank)'!D:J,2,FALSE),"")</f>
        <v>Washington</v>
      </c>
      <c r="F140" s="16">
        <f>IF(SUMIF('Big Board (by rank)'!D:D,C140,'Big Board (by rank)'!A:A)=0,"",SUMIF('Big Board (by rank)'!D:D,C140,'Big Board (by rank)'!A:A))</f>
        <v>141</v>
      </c>
      <c r="G140" s="18" t="str">
        <f>IFERROR(VLOOKUP(C140,'Big Board (by rank)'!D:J,7,FALSE),"")</f>
        <v>San Francisco 49ers</v>
      </c>
    </row>
    <row r="141">
      <c r="A141" s="16">
        <v>4.0</v>
      </c>
      <c r="B141" s="16">
        <v>140.0</v>
      </c>
      <c r="C141" s="17" t="str">
        <f>IFERROR(VLOOKUP(B141,'Big Board (by pick)'!A:E,5,FALSE),"")</f>
        <v>Colbie Young</v>
      </c>
      <c r="D141" s="17" t="str">
        <f>IFERROR(VLOOKUP(C141,'Big Board (by rank)'!D:F,3,FALSE),"")</f>
        <v>WR</v>
      </c>
      <c r="E141" s="17" t="str">
        <f>IFERROR(VLOOKUP(C141,'Big Board (by rank)'!D:J,2,FALSE),"")</f>
        <v>Georgia</v>
      </c>
      <c r="F141" s="16">
        <f>IF(SUMIF('Big Board (by rank)'!D:D,C141,'Big Board (by rank)'!A:A)=0,"",SUMIF('Big Board (by rank)'!D:D,C141,'Big Board (by rank)'!A:A))</f>
        <v>233</v>
      </c>
      <c r="G141" s="18" t="str">
        <f>IFERROR(VLOOKUP(C141,'Big Board (by rank)'!D:J,7,FALSE),"")</f>
        <v>Cincinnati Bengals</v>
      </c>
    </row>
    <row r="142">
      <c r="A142" s="16">
        <v>5.0</v>
      </c>
      <c r="B142" s="16">
        <v>141.0</v>
      </c>
      <c r="C142" s="17" t="str">
        <f>IFERROR(VLOOKUP(B142,'Big Board (by pick)'!A:E,5,FALSE),"")</f>
        <v>Kamari Ramsey</v>
      </c>
      <c r="D142" s="17" t="str">
        <f>IFERROR(VLOOKUP(C142,'Big Board (by rank)'!D:F,3,FALSE),"")</f>
        <v>S</v>
      </c>
      <c r="E142" s="17" t="str">
        <f>IFERROR(VLOOKUP(C142,'Big Board (by rank)'!D:J,2,FALSE),"")</f>
        <v>USC</v>
      </c>
      <c r="F142" s="16">
        <f>IF(SUMIF('Big Board (by rank)'!D:D,C142,'Big Board (by rank)'!A:A)=0,"",SUMIF('Big Board (by rank)'!D:D,C142,'Big Board (by rank)'!A:A))</f>
        <v>92</v>
      </c>
      <c r="G142" s="18" t="str">
        <f>IFERROR(VLOOKUP(C142,'Big Board (by rank)'!D:J,7,FALSE),"")</f>
        <v>Houston Texans</v>
      </c>
    </row>
    <row r="143">
      <c r="A143" s="16">
        <v>5.0</v>
      </c>
      <c r="B143" s="16">
        <v>142.0</v>
      </c>
      <c r="C143" s="17" t="str">
        <f>IFERROR(VLOOKUP(B143,'Big Board (by pick)'!A:E,5,FALSE),"")</f>
        <v>Fernando Carmona Jr.</v>
      </c>
      <c r="D143" s="17" t="str">
        <f>IFERROR(VLOOKUP(C143,'Big Board (by rank)'!D:F,3,FALSE),"")</f>
        <v>OG</v>
      </c>
      <c r="E143" s="17" t="str">
        <f>IFERROR(VLOOKUP(C143,'Big Board (by rank)'!D:J,2,FALSE),"")</f>
        <v>Arkansas</v>
      </c>
      <c r="F143" s="16">
        <f>IF(SUMIF('Big Board (by rank)'!D:D,C143,'Big Board (by rank)'!A:A)=0,"",SUMIF('Big Board (by rank)'!D:D,C143,'Big Board (by rank)'!A:A))</f>
        <v>243</v>
      </c>
      <c r="G143" s="18" t="str">
        <f>IFERROR(VLOOKUP(C143,'Big Board (by rank)'!D:J,7,FALSE),"")</f>
        <v>Tennessee Titans</v>
      </c>
    </row>
    <row r="144">
      <c r="A144" s="16">
        <v>5.0</v>
      </c>
      <c r="B144" s="16">
        <v>143.0</v>
      </c>
      <c r="C144" s="17" t="str">
        <f>IFERROR(VLOOKUP(B144,'Big Board (by pick)'!A:E,5,FALSE),"")</f>
        <v>Reggie Virgil</v>
      </c>
      <c r="D144" s="17" t="str">
        <f>IFERROR(VLOOKUP(C144,'Big Board (by rank)'!D:F,3,FALSE),"")</f>
        <v>WR</v>
      </c>
      <c r="E144" s="17" t="str">
        <f>IFERROR(VLOOKUP(C144,'Big Board (by rank)'!D:J,2,FALSE),"")</f>
        <v>Texas Tech</v>
      </c>
      <c r="F144" s="16">
        <f>IF(SUMIF('Big Board (by rank)'!D:D,C144,'Big Board (by rank)'!A:A)=0,"",SUMIF('Big Board (by rank)'!D:D,C144,'Big Board (by rank)'!A:A))</f>
        <v>178</v>
      </c>
      <c r="G144" s="18" t="str">
        <f>IFERROR(VLOOKUP(C144,'Big Board (by rank)'!D:J,7,FALSE),"")</f>
        <v>Arizona Cardinals</v>
      </c>
    </row>
    <row r="145">
      <c r="A145" s="16">
        <v>5.0</v>
      </c>
      <c r="B145" s="16">
        <v>144.0</v>
      </c>
      <c r="C145" s="17" t="str">
        <f>IFERROR(VLOOKUP(B145,'Big Board (by pick)'!A:E,5,FALSE),"")</f>
        <v>Sam Hecht</v>
      </c>
      <c r="D145" s="17" t="str">
        <f>IFERROR(VLOOKUP(C145,'Big Board (by rank)'!D:F,3,FALSE),"")</f>
        <v>OC</v>
      </c>
      <c r="E145" s="17" t="str">
        <f>IFERROR(VLOOKUP(C145,'Big Board (by rank)'!D:J,2,FALSE),"")</f>
        <v>Kansas State</v>
      </c>
      <c r="F145" s="16">
        <f>IF(SUMIF('Big Board (by rank)'!D:D,C145,'Big Board (by rank)'!A:A)=0,"",SUMIF('Big Board (by rank)'!D:D,C145,'Big Board (by rank)'!A:A))</f>
        <v>80</v>
      </c>
      <c r="G145" s="18" t="str">
        <f>IFERROR(VLOOKUP(C145,'Big Board (by rank)'!D:J,7,FALSE),"")</f>
        <v>Carolina Panthers</v>
      </c>
    </row>
    <row r="146">
      <c r="A146" s="16">
        <v>5.0</v>
      </c>
      <c r="B146" s="16">
        <v>145.0</v>
      </c>
      <c r="C146" s="17" t="str">
        <f>IFERROR(VLOOKUP(B146,'Big Board (by pick)'!A:E,5,FALSE),"")</f>
        <v>Nick Barrett</v>
      </c>
      <c r="D146" s="17" t="str">
        <f>IFERROR(VLOOKUP(C146,'Big Board (by rank)'!D:F,3,FALSE),"")</f>
        <v>DL3T</v>
      </c>
      <c r="E146" s="17" t="str">
        <f>IFERROR(VLOOKUP(C146,'Big Board (by rank)'!D:J,2,FALSE),"")</f>
        <v>South Carolina</v>
      </c>
      <c r="F146" s="16">
        <f>IF(SUMIF('Big Board (by rank)'!D:D,C146,'Big Board (by rank)'!A:A)=0,"",SUMIF('Big Board (by rank)'!D:D,C146,'Big Board (by rank)'!A:A))</f>
        <v>174</v>
      </c>
      <c r="G146" s="18" t="str">
        <f>IFERROR(VLOOKUP(C146,'Big Board (by rank)'!D:J,7,FALSE),"")</f>
        <v>Los Angeles Chargers</v>
      </c>
    </row>
    <row r="147">
      <c r="A147" s="16">
        <v>5.0</v>
      </c>
      <c r="B147" s="16">
        <v>146.0</v>
      </c>
      <c r="C147" s="17" t="str">
        <f>IFERROR(VLOOKUP(B147,'Big Board (by pick)'!A:E,5,FALSE),"")</f>
        <v>Parker Brailsford</v>
      </c>
      <c r="D147" s="17" t="str">
        <f>IFERROR(VLOOKUP(C147,'Big Board (by rank)'!D:F,3,FALSE),"")</f>
        <v>OC</v>
      </c>
      <c r="E147" s="17" t="str">
        <f>IFERROR(VLOOKUP(C147,'Big Board (by rank)'!D:J,2,FALSE),"")</f>
        <v>Alabama</v>
      </c>
      <c r="F147" s="16">
        <f>IF(SUMIF('Big Board (by rank)'!D:D,C147,'Big Board (by rank)'!A:A)=0,"",SUMIF('Big Board (by rank)'!D:D,C147,'Big Board (by rank)'!A:A))</f>
        <v>172</v>
      </c>
      <c r="G147" s="18" t="str">
        <f>IFERROR(VLOOKUP(C147,'Big Board (by rank)'!D:J,7,FALSE),"")</f>
        <v>Cleveland Browns</v>
      </c>
    </row>
    <row r="148">
      <c r="A148" s="16">
        <v>5.0</v>
      </c>
      <c r="B148" s="16">
        <v>147.0</v>
      </c>
      <c r="C148" s="17" t="str">
        <f>IFERROR(VLOOKUP(B148,'Big Board (by pick)'!A:E,5,FALSE),"")</f>
        <v>Joshua Josephs</v>
      </c>
      <c r="D148" s="17" t="str">
        <f>IFERROR(VLOOKUP(C148,'Big Board (by rank)'!D:F,3,FALSE),"")</f>
        <v>EDGE</v>
      </c>
      <c r="E148" s="17" t="str">
        <f>IFERROR(VLOOKUP(C148,'Big Board (by rank)'!D:J,2,FALSE),"")</f>
        <v>Tennessee</v>
      </c>
      <c r="F148" s="16">
        <f>IF(SUMIF('Big Board (by rank)'!D:D,C148,'Big Board (by rank)'!A:A)=0,"",SUMIF('Big Board (by rank)'!D:D,C148,'Big Board (by rank)'!A:A))</f>
        <v>77</v>
      </c>
      <c r="G148" s="18" t="str">
        <f>IFERROR(VLOOKUP(C148,'Big Board (by rank)'!D:J,7,FALSE),"")</f>
        <v>Washington Commanders</v>
      </c>
    </row>
    <row r="149">
      <c r="A149" s="16">
        <v>5.0</v>
      </c>
      <c r="B149" s="16">
        <v>148.0</v>
      </c>
      <c r="C149" s="17" t="str">
        <f>IFERROR(VLOOKUP(B149,'Big Board (by pick)'!A:E,5,FALSE),"")</f>
        <v>Beau Stephens</v>
      </c>
      <c r="D149" s="17" t="str">
        <f>IFERROR(VLOOKUP(C149,'Big Board (by rank)'!D:F,3,FALSE),"")</f>
        <v>OG</v>
      </c>
      <c r="E149" s="17" t="str">
        <f>IFERROR(VLOOKUP(C149,'Big Board (by rank)'!D:J,2,FALSE),"")</f>
        <v>Iowa</v>
      </c>
      <c r="F149" s="16">
        <f>IF(SUMIF('Big Board (by rank)'!D:D,C149,'Big Board (by rank)'!A:A)=0,"",SUMIF('Big Board (by rank)'!D:D,C149,'Big Board (by rank)'!A:A))</f>
        <v>146</v>
      </c>
      <c r="G149" s="18" t="str">
        <f>IFERROR(VLOOKUP(C149,'Big Board (by rank)'!D:J,7,FALSE),"")</f>
        <v>Seattle Seahawks</v>
      </c>
    </row>
    <row r="150">
      <c r="A150" s="16">
        <v>5.0</v>
      </c>
      <c r="B150" s="16">
        <v>149.0</v>
      </c>
      <c r="C150" s="17" t="str">
        <f>IFERROR(VLOOKUP(B150,'Big Board (by pick)'!A:E,5,FALSE),"")</f>
        <v>Justin Jefferson</v>
      </c>
      <c r="D150" s="17" t="str">
        <f>IFERROR(VLOOKUP(C150,'Big Board (by rank)'!D:F,3,FALSE),"")</f>
        <v>LB</v>
      </c>
      <c r="E150" s="17" t="str">
        <f>IFERROR(VLOOKUP(C150,'Big Board (by rank)'!D:J,2,FALSE),"")</f>
        <v>Alabama</v>
      </c>
      <c r="F150" s="16">
        <f>IF(SUMIF('Big Board (by rank)'!D:D,C150,'Big Board (by rank)'!A:A)=0,"",SUMIF('Big Board (by rank)'!D:D,C150,'Big Board (by rank)'!A:A))</f>
        <v>198</v>
      </c>
      <c r="G150" s="18" t="str">
        <f>IFERROR(VLOOKUP(C150,'Big Board (by rank)'!D:J,7,FALSE),"")</f>
        <v>Cleveland Browns</v>
      </c>
    </row>
    <row r="151">
      <c r="A151" s="16">
        <v>5.0</v>
      </c>
      <c r="B151" s="16">
        <v>150.0</v>
      </c>
      <c r="C151" s="17" t="str">
        <f>IFERROR(VLOOKUP(B151,'Big Board (by pick)'!A:E,5,FALSE),"")</f>
        <v>Dalton Johnson</v>
      </c>
      <c r="D151" s="17" t="str">
        <f>IFERROR(VLOOKUP(C151,'Big Board (by rank)'!D:F,3,FALSE),"")</f>
        <v>S</v>
      </c>
      <c r="E151" s="17" t="str">
        <f>IFERROR(VLOOKUP(C151,'Big Board (by rank)'!D:J,2,FALSE),"")</f>
        <v>Arizona</v>
      </c>
      <c r="F151" s="16">
        <f>IF(SUMIF('Big Board (by rank)'!D:D,C151,'Big Board (by rank)'!A:A)=0,"",SUMIF('Big Board (by rank)'!D:D,C151,'Big Board (by rank)'!A:A))</f>
        <v>226</v>
      </c>
      <c r="G151" s="18" t="str">
        <f>IFERROR(VLOOKUP(C151,'Big Board (by rank)'!D:J,7,FALSE),"")</f>
        <v>Las Vegas Raiders</v>
      </c>
    </row>
    <row r="152">
      <c r="A152" s="16">
        <v>5.0</v>
      </c>
      <c r="B152" s="16">
        <v>151.0</v>
      </c>
      <c r="C152" s="17" t="str">
        <f>IFERROR(VLOOKUP(B152,'Big Board (by pick)'!A:E,5,FALSE),"")</f>
        <v>Zakee Wheatley</v>
      </c>
      <c r="D152" s="17" t="str">
        <f>IFERROR(VLOOKUP(C152,'Big Board (by rank)'!D:F,3,FALSE),"")</f>
        <v>S</v>
      </c>
      <c r="E152" s="17" t="str">
        <f>IFERROR(VLOOKUP(C152,'Big Board (by rank)'!D:J,2,FALSE),"")</f>
        <v>Penn State</v>
      </c>
      <c r="F152" s="16">
        <f>IF(SUMIF('Big Board (by rank)'!D:D,C152,'Big Board (by rank)'!A:A)=0,"",SUMIF('Big Board (by rank)'!D:D,C152,'Big Board (by rank)'!A:A))</f>
        <v>88</v>
      </c>
      <c r="G152" s="18" t="str">
        <f>IFERROR(VLOOKUP(C152,'Big Board (by rank)'!D:J,7,FALSE),"")</f>
        <v>Carolina Panthers</v>
      </c>
    </row>
    <row r="153">
      <c r="A153" s="16">
        <v>5.0</v>
      </c>
      <c r="B153" s="16">
        <v>152.0</v>
      </c>
      <c r="C153" s="17" t="str">
        <f>IFERROR(VLOOKUP(B153,'Big Board (by pick)'!A:E,5,FALSE),"")</f>
        <v>Justin Joly</v>
      </c>
      <c r="D153" s="17" t="str">
        <f>IFERROR(VLOOKUP(C153,'Big Board (by rank)'!D:F,3,FALSE),"")</f>
        <v>TE</v>
      </c>
      <c r="E153" s="17" t="str">
        <f>IFERROR(VLOOKUP(C153,'Big Board (by rank)'!D:J,2,FALSE),"")</f>
        <v>NC State</v>
      </c>
      <c r="F153" s="16">
        <f>IF(SUMIF('Big Board (by rank)'!D:D,C153,'Big Board (by rank)'!A:A)=0,"",SUMIF('Big Board (by rank)'!D:D,C153,'Big Board (by rank)'!A:A))</f>
        <v>115</v>
      </c>
      <c r="G153" s="18" t="str">
        <f>IFERROR(VLOOKUP(C153,'Big Board (by rank)'!D:J,7,FALSE),"")</f>
        <v>Denver Broncos</v>
      </c>
    </row>
    <row r="154">
      <c r="A154" s="16">
        <v>5.0</v>
      </c>
      <c r="B154" s="16">
        <v>153.0</v>
      </c>
      <c r="C154" s="17" t="str">
        <f>IFERROR(VLOOKUP(B154,'Big Board (by pick)'!A:E,5,FALSE),"")</f>
        <v>Jager Burton</v>
      </c>
      <c r="D154" s="17" t="str">
        <f>IFERROR(VLOOKUP(C154,'Big Board (by rank)'!D:F,3,FALSE),"")</f>
        <v>OC</v>
      </c>
      <c r="E154" s="17" t="str">
        <f>IFERROR(VLOOKUP(C154,'Big Board (by rank)'!D:J,2,FALSE),"")</f>
        <v>Kentucky</v>
      </c>
      <c r="F154" s="16">
        <f>IF(SUMIF('Big Board (by rank)'!D:D,C154,'Big Board (by rank)'!A:A)=0,"",SUMIF('Big Board (by rank)'!D:D,C154,'Big Board (by rank)'!A:A))</f>
        <v>176</v>
      </c>
      <c r="G154" s="18" t="str">
        <f>IFERROR(VLOOKUP(C154,'Big Board (by rank)'!D:J,7,FALSE),"")</f>
        <v>Green Bay Packers</v>
      </c>
    </row>
    <row r="155">
      <c r="A155" s="16">
        <v>5.0</v>
      </c>
      <c r="B155" s="16">
        <v>154.0</v>
      </c>
      <c r="C155" s="17" t="str">
        <f>IFERROR(VLOOKUP(B155,'Big Board (by pick)'!A:E,5,FALSE),"")</f>
        <v>Jaden Dugger</v>
      </c>
      <c r="D155" s="17" t="str">
        <f>IFERROR(VLOOKUP(C155,'Big Board (by rank)'!D:F,3,FALSE),"")</f>
        <v>LB</v>
      </c>
      <c r="E155" s="17" t="str">
        <f>IFERROR(VLOOKUP(C155,'Big Board (by rank)'!D:J,2,FALSE),"")</f>
        <v>Louisiana</v>
      </c>
      <c r="F155" s="16">
        <f>IF(SUMIF('Big Board (by rank)'!D:D,C155,'Big Board (by rank)'!A:A)=0,"",SUMIF('Big Board (by rank)'!D:D,C155,'Big Board (by rank)'!A:A))</f>
        <v>284</v>
      </c>
      <c r="G155" s="18" t="str">
        <f>IFERROR(VLOOKUP(C155,'Big Board (by rank)'!D:J,7,FALSE),"")</f>
        <v>San Francisco 49ers</v>
      </c>
    </row>
    <row r="156">
      <c r="A156" s="16">
        <v>5.0</v>
      </c>
      <c r="B156" s="16">
        <v>155.0</v>
      </c>
      <c r="C156" s="17" t="str">
        <f>IFERROR(VLOOKUP(B156,'Big Board (by pick)'!A:E,5,FALSE),"")</f>
        <v>DeMonte Capehart</v>
      </c>
      <c r="D156" s="17" t="str">
        <f>IFERROR(VLOOKUP(C156,'Big Board (by rank)'!D:F,3,FALSE),"")</f>
        <v>DL3T</v>
      </c>
      <c r="E156" s="17" t="str">
        <f>IFERROR(VLOOKUP(C156,'Big Board (by rank)'!D:J,2,FALSE),"")</f>
        <v>Clemson</v>
      </c>
      <c r="F156" s="16">
        <f>IF(SUMIF('Big Board (by rank)'!D:D,C156,'Big Board (by rank)'!A:A)=0,"",SUMIF('Big Board (by rank)'!D:D,C156,'Big Board (by rank)'!A:A))</f>
        <v>170</v>
      </c>
      <c r="G156" s="18" t="str">
        <f>IFERROR(VLOOKUP(C156,'Big Board (by rank)'!D:J,7,FALSE),"")</f>
        <v>Tampa Bay Buccaneers</v>
      </c>
    </row>
    <row r="157">
      <c r="A157" s="16">
        <v>5.0</v>
      </c>
      <c r="B157" s="16">
        <v>156.0</v>
      </c>
      <c r="C157" s="17" t="str">
        <f>IFERROR(VLOOKUP(B157,'Big Board (by pick)'!A:E,5,FALSE),"")</f>
        <v>George Gumbs Jr.</v>
      </c>
      <c r="D157" s="17" t="str">
        <f>IFERROR(VLOOKUP(C157,'Big Board (by rank)'!D:F,3,FALSE),"")</f>
        <v>EDGE</v>
      </c>
      <c r="E157" s="17" t="str">
        <f>IFERROR(VLOOKUP(C157,'Big Board (by rank)'!D:J,2,FALSE),"")</f>
        <v>Florida</v>
      </c>
      <c r="F157" s="16">
        <f>IF(SUMIF('Big Board (by rank)'!D:D,C157,'Big Board (by rank)'!A:A)=0,"",SUMIF('Big Board (by rank)'!D:D,C157,'Big Board (by rank)'!A:A))</f>
        <v>235</v>
      </c>
      <c r="G157" s="18" t="str">
        <f>IFERROR(VLOOKUP(C157,'Big Board (by rank)'!D:J,7,FALSE),"")</f>
        <v>Indianapolis Colts</v>
      </c>
    </row>
    <row r="158">
      <c r="A158" s="16">
        <v>5.0</v>
      </c>
      <c r="B158" s="16">
        <v>157.0</v>
      </c>
      <c r="C158" s="17" t="str">
        <f>IFERROR(VLOOKUP(B158,'Big Board (by pick)'!A:E,5,FALSE),"")</f>
        <v>Keith Abney II</v>
      </c>
      <c r="D158" s="17" t="str">
        <f>IFERROR(VLOOKUP(C158,'Big Board (by rank)'!D:F,3,FALSE),"")</f>
        <v>CB</v>
      </c>
      <c r="E158" s="17" t="str">
        <f>IFERROR(VLOOKUP(C158,'Big Board (by rank)'!D:J,2,FALSE),"")</f>
        <v>Arizona State</v>
      </c>
      <c r="F158" s="16">
        <f>IF(SUMIF('Big Board (by rank)'!D:D,C158,'Big Board (by rank)'!A:A)=0,"",SUMIF('Big Board (by rank)'!D:D,C158,'Big Board (by rank)'!A:A))</f>
        <v>61</v>
      </c>
      <c r="G158" s="18" t="str">
        <f>IFERROR(VLOOKUP(C158,'Big Board (by rank)'!D:J,7,FALSE),"")</f>
        <v>Detroit Lions</v>
      </c>
    </row>
    <row r="159">
      <c r="A159" s="16">
        <v>5.0</v>
      </c>
      <c r="B159" s="16">
        <v>158.0</v>
      </c>
      <c r="C159" s="17" t="str">
        <f>IFERROR(VLOOKUP(B159,'Big Board (by pick)'!A:E,5,FALSE),"")</f>
        <v>Michael Taaffe</v>
      </c>
      <c r="D159" s="17" t="str">
        <f>IFERROR(VLOOKUP(C159,'Big Board (by rank)'!D:F,3,FALSE),"")</f>
        <v>S</v>
      </c>
      <c r="E159" s="17" t="str">
        <f>IFERROR(VLOOKUP(C159,'Big Board (by rank)'!D:J,2,FALSE),"")</f>
        <v>Texas</v>
      </c>
      <c r="F159" s="16">
        <f>IF(SUMIF('Big Board (by rank)'!D:D,C159,'Big Board (by rank)'!A:A)=0,"",SUMIF('Big Board (by rank)'!D:D,C159,'Big Board (by rank)'!A:A))</f>
        <v>145</v>
      </c>
      <c r="G159" s="18" t="str">
        <f>IFERROR(VLOOKUP(C159,'Big Board (by rank)'!D:J,7,FALSE),"")</f>
        <v>Miami Dolphins</v>
      </c>
    </row>
    <row r="160">
      <c r="A160" s="16">
        <v>5.0</v>
      </c>
      <c r="B160" s="16">
        <v>159.0</v>
      </c>
      <c r="C160" s="17" t="str">
        <f>IFERROR(VLOOKUP(B160,'Big Board (by pick)'!A:E,5,FALSE),"")</f>
        <v>Max Bredeson</v>
      </c>
      <c r="D160" s="17" t="str">
        <f>IFERROR(VLOOKUP(C160,'Big Board (by rank)'!D:F,3,FALSE),"")</f>
        <v>FB</v>
      </c>
      <c r="E160" s="17" t="str">
        <f>IFERROR(VLOOKUP(C160,'Big Board (by rank)'!D:J,2,FALSE),"")</f>
        <v>Michigan</v>
      </c>
      <c r="F160" s="16">
        <f>IF(SUMIF('Big Board (by rank)'!D:D,C160,'Big Board (by rank)'!A:A)=0,"",SUMIF('Big Board (by rank)'!D:D,C160,'Big Board (by rank)'!A:A))</f>
        <v>317</v>
      </c>
      <c r="G160" s="18" t="str">
        <f>IFERROR(VLOOKUP(C160,'Big Board (by rank)'!D:J,7,FALSE),"")</f>
        <v>Minnesota Vikings</v>
      </c>
    </row>
    <row r="161">
      <c r="A161" s="16">
        <v>5.0</v>
      </c>
      <c r="B161" s="16">
        <v>160.0</v>
      </c>
      <c r="C161" s="17" t="str">
        <f>IFERROR(VLOOKUP(B161,'Big Board (by pick)'!A:E,5,FALSE),"")</f>
        <v>Billy Schrauth</v>
      </c>
      <c r="D161" s="17" t="str">
        <f>IFERROR(VLOOKUP(C161,'Big Board (by rank)'!D:F,3,FALSE),"")</f>
        <v>OG</v>
      </c>
      <c r="E161" s="17" t="str">
        <f>IFERROR(VLOOKUP(C161,'Big Board (by rank)'!D:J,2,FALSE),"")</f>
        <v>Notre Dame</v>
      </c>
      <c r="F161" s="16">
        <f>IF(SUMIF('Big Board (by rank)'!D:D,C161,'Big Board (by rank)'!A:A)=0,"",SUMIF('Big Board (by rank)'!D:D,C161,'Big Board (by rank)'!A:A))</f>
        <v>125</v>
      </c>
      <c r="G161" s="18" t="str">
        <f>IFERROR(VLOOKUP(C161,'Big Board (by rank)'!D:J,7,FALSE),"")</f>
        <v>Tampa Bay Buccaneers</v>
      </c>
    </row>
    <row r="162">
      <c r="A162" s="16">
        <v>5.0</v>
      </c>
      <c r="B162" s="16">
        <v>161.0</v>
      </c>
      <c r="C162" s="17" t="str">
        <f>IFERROR(VLOOKUP(B162,'Big Board (by pick)'!A:E,5,FALSE),"")</f>
        <v>Emmett Johnson</v>
      </c>
      <c r="D162" s="17" t="str">
        <f>IFERROR(VLOOKUP(C162,'Big Board (by rank)'!D:F,3,FALSE),"")</f>
        <v>RB</v>
      </c>
      <c r="E162" s="17" t="str">
        <f>IFERROR(VLOOKUP(C162,'Big Board (by rank)'!D:J,2,FALSE),"")</f>
        <v>Nebraska</v>
      </c>
      <c r="F162" s="16">
        <f>IF(SUMIF('Big Board (by rank)'!D:D,C162,'Big Board (by rank)'!A:A)=0,"",SUMIF('Big Board (by rank)'!D:D,C162,'Big Board (by rank)'!A:A))</f>
        <v>100</v>
      </c>
      <c r="G162" s="18" t="str">
        <f>IFERROR(VLOOKUP(C162,'Big Board (by rank)'!D:J,7,FALSE),"")</f>
        <v>Kansas City Chiefs</v>
      </c>
    </row>
    <row r="163">
      <c r="A163" s="16">
        <v>5.0</v>
      </c>
      <c r="B163" s="16">
        <v>162.0</v>
      </c>
      <c r="C163" s="17" t="str">
        <f>IFERROR(VLOOKUP(B163,'Big Board (by pick)'!A:E,5,FALSE),"")</f>
        <v>Chandler Rivers</v>
      </c>
      <c r="D163" s="17" t="str">
        <f>IFERROR(VLOOKUP(C163,'Big Board (by rank)'!D:F,3,FALSE),"")</f>
        <v>CB</v>
      </c>
      <c r="E163" s="17" t="str">
        <f>IFERROR(VLOOKUP(C163,'Big Board (by rank)'!D:J,2,FALSE),"")</f>
        <v>Duke</v>
      </c>
      <c r="F163" s="16">
        <f>IF(SUMIF('Big Board (by rank)'!D:D,C163,'Big Board (by rank)'!A:A)=0,"",SUMIF('Big Board (by rank)'!D:D,C163,'Big Board (by rank)'!A:A))</f>
        <v>86</v>
      </c>
      <c r="G163" s="18" t="str">
        <f>IFERROR(VLOOKUP(C163,'Big Board (by rank)'!D:J,7,FALSE),"")</f>
        <v>Baltimore Ravens</v>
      </c>
    </row>
    <row r="164">
      <c r="A164" s="16">
        <v>5.0</v>
      </c>
      <c r="B164" s="16">
        <v>163.0</v>
      </c>
      <c r="C164" s="17" t="str">
        <f>IFERROR(VLOOKUP(B164,'Big Board (by pick)'!A:E,5,FALSE),"")</f>
        <v>Charles Demmings</v>
      </c>
      <c r="D164" s="17" t="str">
        <f>IFERROR(VLOOKUP(C164,'Big Board (by rank)'!D:F,3,FALSE),"")</f>
        <v>CB</v>
      </c>
      <c r="E164" s="17" t="str">
        <f>IFERROR(VLOOKUP(C164,'Big Board (by rank)'!D:J,2,FALSE),"")</f>
        <v>Stephen F. Austin</v>
      </c>
      <c r="F164" s="16">
        <f>IF(SUMIF('Big Board (by rank)'!D:D,C164,'Big Board (by rank)'!A:A)=0,"",SUMIF('Big Board (by rank)'!D:D,C164,'Big Board (by rank)'!A:A))</f>
        <v>151</v>
      </c>
      <c r="G164" s="18" t="str">
        <f>IFERROR(VLOOKUP(C164,'Big Board (by rank)'!D:J,7,FALSE),"")</f>
        <v>Minnesota Vikings</v>
      </c>
    </row>
    <row r="165">
      <c r="A165" s="16">
        <v>5.0</v>
      </c>
      <c r="B165" s="16">
        <v>164.0</v>
      </c>
      <c r="C165" s="17" t="str">
        <f>IFERROR(VLOOKUP(B165,'Big Board (by pick)'!A:E,5,FALSE),"")</f>
        <v>Tanner Koziol</v>
      </c>
      <c r="D165" s="17" t="str">
        <f>IFERROR(VLOOKUP(C165,'Big Board (by rank)'!D:F,3,FALSE),"")</f>
        <v>TE</v>
      </c>
      <c r="E165" s="17" t="str">
        <f>IFERROR(VLOOKUP(C165,'Big Board (by rank)'!D:J,2,FALSE),"")</f>
        <v>Houston</v>
      </c>
      <c r="F165" s="16">
        <f>IF(SUMIF('Big Board (by rank)'!D:D,C165,'Big Board (by rank)'!A:A)=0,"",SUMIF('Big Board (by rank)'!D:D,C165,'Big Board (by rank)'!A:A))</f>
        <v>153</v>
      </c>
      <c r="G165" s="18" t="str">
        <f>IFERROR(VLOOKUP(C165,'Big Board (by rank)'!D:J,7,FALSE),"")</f>
        <v>Jacksonville Jaguars</v>
      </c>
    </row>
    <row r="166">
      <c r="A166" s="16">
        <v>5.0</v>
      </c>
      <c r="B166" s="16">
        <v>165.0</v>
      </c>
      <c r="C166" s="17" t="str">
        <f>IFERROR(VLOOKUP(B166,'Big Board (by pick)'!A:E,5,FALSE),"")</f>
        <v>Nick Singleton</v>
      </c>
      <c r="D166" s="17" t="str">
        <f>IFERROR(VLOOKUP(C166,'Big Board (by rank)'!D:F,3,FALSE),"")</f>
        <v>RB</v>
      </c>
      <c r="E166" s="17" t="str">
        <f>IFERROR(VLOOKUP(C166,'Big Board (by rank)'!D:J,2,FALSE),"")</f>
        <v>Penn State</v>
      </c>
      <c r="F166" s="16">
        <f>IF(SUMIF('Big Board (by rank)'!D:D,C166,'Big Board (by rank)'!A:A)=0,"",SUMIF('Big Board (by rank)'!D:D,C166,'Big Board (by rank)'!A:A))</f>
        <v>133</v>
      </c>
      <c r="G166" s="18" t="str">
        <f>IFERROR(VLOOKUP(C166,'Big Board (by rank)'!D:J,7,FALSE),"")</f>
        <v>Tennessee Titans</v>
      </c>
    </row>
    <row r="167">
      <c r="A167" s="16">
        <v>5.0</v>
      </c>
      <c r="B167" s="16">
        <v>166.0</v>
      </c>
      <c r="C167" s="17" t="str">
        <f>IFERROR(VLOOKUP(B167,'Big Board (by pick)'!A:E,5,FALSE),"")</f>
        <v>Keyshaun Elliott</v>
      </c>
      <c r="D167" s="17" t="str">
        <f>IFERROR(VLOOKUP(C167,'Big Board (by rank)'!D:F,3,FALSE),"")</f>
        <v>LB</v>
      </c>
      <c r="E167" s="17" t="str">
        <f>IFERROR(VLOOKUP(C167,'Big Board (by rank)'!D:J,2,FALSE),"")</f>
        <v>Arizona State</v>
      </c>
      <c r="F167" s="16">
        <f>IF(SUMIF('Big Board (by rank)'!D:D,C167,'Big Board (by rank)'!A:A)=0,"",SUMIF('Big Board (by rank)'!D:D,C167,'Big Board (by rank)'!A:A))</f>
        <v>134</v>
      </c>
      <c r="G167" s="18" t="str">
        <f>IFERROR(VLOOKUP(C167,'Big Board (by rank)'!D:J,7,FALSE),"")</f>
        <v>Chicago Bears</v>
      </c>
    </row>
    <row r="168">
      <c r="A168" s="16">
        <v>5.0</v>
      </c>
      <c r="B168" s="16">
        <v>167.0</v>
      </c>
      <c r="C168" s="17" t="str">
        <f>IFERROR(VLOOKUP(B168,'Big Board (by pick)'!A:E,5,FALSE),"")</f>
        <v>Jalon Kilgore</v>
      </c>
      <c r="D168" s="17" t="str">
        <f>IFERROR(VLOOKUP(C168,'Big Board (by rank)'!D:F,3,FALSE),"")</f>
        <v>S</v>
      </c>
      <c r="E168" s="17" t="str">
        <f>IFERROR(VLOOKUP(C168,'Big Board (by rank)'!D:J,2,FALSE),"")</f>
        <v>South Carolina</v>
      </c>
      <c r="F168" s="16">
        <f>IF(SUMIF('Big Board (by rank)'!D:D,C168,'Big Board (by rank)'!A:A)=0,"",SUMIF('Big Board (by rank)'!D:D,C168,'Big Board (by rank)'!A:A))</f>
        <v>91</v>
      </c>
      <c r="G168" s="18" t="str">
        <f>IFERROR(VLOOKUP(C168,'Big Board (by rank)'!D:J,7,FALSE),"")</f>
        <v>Buffalo Bills</v>
      </c>
    </row>
    <row r="169">
      <c r="A169" s="16">
        <v>5.0</v>
      </c>
      <c r="B169" s="16">
        <v>168.0</v>
      </c>
      <c r="C169" s="17" t="str">
        <f>IFERROR(VLOOKUP(B169,'Big Board (by pick)'!A:E,5,FALSE),"")</f>
        <v>Kendrick Law</v>
      </c>
      <c r="D169" s="17" t="str">
        <f>IFERROR(VLOOKUP(C169,'Big Board (by rank)'!D:F,3,FALSE),"")</f>
        <v>WR</v>
      </c>
      <c r="E169" s="17" t="str">
        <f>IFERROR(VLOOKUP(C169,'Big Board (by rank)'!D:J,2,FALSE),"")</f>
        <v>Kentucky</v>
      </c>
      <c r="F169" s="16">
        <f>IF(SUMIF('Big Board (by rank)'!D:D,C169,'Big Board (by rank)'!A:A)=0,"",SUMIF('Big Board (by rank)'!D:D,C169,'Big Board (by rank)'!A:A))</f>
        <v>200</v>
      </c>
      <c r="G169" s="18" t="str">
        <f>IFERROR(VLOOKUP(C169,'Big Board (by rank)'!D:J,7,FALSE),"")</f>
        <v>Detroit Lions</v>
      </c>
    </row>
    <row r="170">
      <c r="A170" s="16">
        <v>5.0</v>
      </c>
      <c r="B170" s="16">
        <v>169.0</v>
      </c>
      <c r="C170" s="17" t="str">
        <f>IFERROR(VLOOKUP(B170,'Big Board (by pick)'!A:E,5,FALSE),"")</f>
        <v>Riley Nowakowski</v>
      </c>
      <c r="D170" s="17" t="str">
        <f>IFERROR(VLOOKUP(C170,'Big Board (by rank)'!D:F,3,FALSE),"")</f>
        <v>TE</v>
      </c>
      <c r="E170" s="17" t="str">
        <f>IFERROR(VLOOKUP(C170,'Big Board (by rank)'!D:J,2,FALSE),"")</f>
        <v>Indiana</v>
      </c>
      <c r="F170" s="16">
        <f>IF(SUMIF('Big Board (by rank)'!D:D,C170,'Big Board (by rank)'!A:A)=0,"",SUMIF('Big Board (by rank)'!D:D,C170,'Big Board (by rank)'!A:A))</f>
        <v>240</v>
      </c>
      <c r="G170" s="18" t="str">
        <f>IFERROR(VLOOKUP(C170,'Big Board (by rank)'!D:J,7,FALSE),"")</f>
        <v>Pittsburgh Steelers</v>
      </c>
    </row>
    <row r="171">
      <c r="A171" s="16">
        <v>5.0</v>
      </c>
      <c r="B171" s="16">
        <v>170.0</v>
      </c>
      <c r="C171" s="17" t="str">
        <f>IFERROR(VLOOKUP(B171,'Big Board (by pick)'!A:E,5,FALSE),"")</f>
        <v>Joe Royer</v>
      </c>
      <c r="D171" s="17" t="str">
        <f>IFERROR(VLOOKUP(C171,'Big Board (by rank)'!D:F,3,FALSE),"")</f>
        <v>TE</v>
      </c>
      <c r="E171" s="17" t="str">
        <f>IFERROR(VLOOKUP(C171,'Big Board (by rank)'!D:J,2,FALSE),"")</f>
        <v>Cincinnati</v>
      </c>
      <c r="F171" s="16">
        <f>IF(SUMIF('Big Board (by rank)'!D:D,C171,'Big Board (by rank)'!A:A)=0,"",SUMIF('Big Board (by rank)'!D:D,C171,'Big Board (by rank)'!A:A))</f>
        <v>169</v>
      </c>
      <c r="G171" s="18" t="str">
        <f>IFERROR(VLOOKUP(C171,'Big Board (by rank)'!D:J,7,FALSE),"")</f>
        <v>Cleveland Browns</v>
      </c>
    </row>
    <row r="172">
      <c r="A172" s="16">
        <v>5.0</v>
      </c>
      <c r="B172" s="16">
        <v>171.0</v>
      </c>
      <c r="C172" s="17" t="str">
        <f>IFERROR(VLOOKUP(B172,'Big Board (by pick)'!A:E,5,FALSE),"")</f>
        <v>Karon Prunty</v>
      </c>
      <c r="D172" s="17" t="str">
        <f>IFERROR(VLOOKUP(C172,'Big Board (by rank)'!D:F,3,FALSE),"")</f>
        <v>CB</v>
      </c>
      <c r="E172" s="17" t="str">
        <f>IFERROR(VLOOKUP(C172,'Big Board (by rank)'!D:J,2,FALSE),"")</f>
        <v>Wake Forest</v>
      </c>
      <c r="F172" s="16">
        <f>IF(SUMIF('Big Board (by rank)'!D:D,C172,'Big Board (by rank)'!A:A)=0,"",SUMIF('Big Board (by rank)'!D:D,C172,'Big Board (by rank)'!A:A))</f>
        <v>512</v>
      </c>
      <c r="G172" s="18" t="str">
        <f>IFERROR(VLOOKUP(C172,'Big Board (by rank)'!D:J,7,FALSE),"")</f>
        <v>New England Patriots</v>
      </c>
    </row>
    <row r="173">
      <c r="A173" s="16">
        <v>5.0</v>
      </c>
      <c r="B173" s="16">
        <v>172.0</v>
      </c>
      <c r="C173" s="17" t="str">
        <f>IFERROR(VLOOKUP(B173,'Big Board (by pick)'!A:E,5,FALSE),"")</f>
        <v>Lorenzo Styles Jr.</v>
      </c>
      <c r="D173" s="17" t="str">
        <f>IFERROR(VLOOKUP(C173,'Big Board (by rank)'!D:F,3,FALSE),"")</f>
        <v>S</v>
      </c>
      <c r="E173" s="17" t="str">
        <f>IFERROR(VLOOKUP(C173,'Big Board (by rank)'!D:J,2,FALSE),"")</f>
        <v>Ohio State</v>
      </c>
      <c r="F173" s="16">
        <f>IF(SUMIF('Big Board (by rank)'!D:D,C173,'Big Board (by rank)'!A:A)=0,"",SUMIF('Big Board (by rank)'!D:D,C173,'Big Board (by rank)'!A:A))</f>
        <v>263</v>
      </c>
      <c r="G173" s="18" t="str">
        <f>IFERROR(VLOOKUP(C173,'Big Board (by rank)'!D:J,7,FALSE),"")</f>
        <v>New Orleans Saints</v>
      </c>
    </row>
    <row r="174">
      <c r="A174" s="16">
        <v>5.0</v>
      </c>
      <c r="B174" s="16">
        <v>173.0</v>
      </c>
      <c r="C174" s="17" t="str">
        <f>IFERROR(VLOOKUP(B174,'Big Board (by pick)'!A:E,5,FALSE),"")</f>
        <v>Josh Cuevas</v>
      </c>
      <c r="D174" s="17" t="str">
        <f>IFERROR(VLOOKUP(C174,'Big Board (by rank)'!D:F,3,FALSE),"")</f>
        <v>TE</v>
      </c>
      <c r="E174" s="17" t="str">
        <f>IFERROR(VLOOKUP(C174,'Big Board (by rank)'!D:J,2,FALSE),"")</f>
        <v>Alabama</v>
      </c>
      <c r="F174" s="16">
        <f>IF(SUMIF('Big Board (by rank)'!D:D,C174,'Big Board (by rank)'!A:A)=0,"",SUMIF('Big Board (by rank)'!D:D,C174,'Big Board (by rank)'!A:A))</f>
        <v>196</v>
      </c>
      <c r="G174" s="18" t="str">
        <f>IFERROR(VLOOKUP(C174,'Big Board (by rank)'!D:J,7,FALSE),"")</f>
        <v>Baltimore Ravens</v>
      </c>
    </row>
    <row r="175">
      <c r="A175" s="16">
        <v>5.0</v>
      </c>
      <c r="B175" s="16">
        <v>174.0</v>
      </c>
      <c r="C175" s="17" t="str">
        <f>IFERROR(VLOOKUP(B175,'Big Board (by pick)'!A:E,5,FALSE),"")</f>
        <v>Adam Randall</v>
      </c>
      <c r="D175" s="17" t="str">
        <f>IFERROR(VLOOKUP(C175,'Big Board (by rank)'!D:F,3,FALSE),"")</f>
        <v>RB</v>
      </c>
      <c r="E175" s="17" t="str">
        <f>IFERROR(VLOOKUP(C175,'Big Board (by rank)'!D:J,2,FALSE),"")</f>
        <v>Clemson</v>
      </c>
      <c r="F175" s="16">
        <f>IF(SUMIF('Big Board (by rank)'!D:D,C175,'Big Board (by rank)'!A:A)=0,"",SUMIF('Big Board (by rank)'!D:D,C175,'Big Board (by rank)'!A:A))</f>
        <v>204</v>
      </c>
      <c r="G175" s="18" t="str">
        <f>IFERROR(VLOOKUP(C175,'Big Board (by rank)'!D:J,7,FALSE),"")</f>
        <v>Baltimore Ravens</v>
      </c>
    </row>
    <row r="176">
      <c r="A176" s="16">
        <v>5.0</v>
      </c>
      <c r="B176" s="16">
        <v>175.0</v>
      </c>
      <c r="C176" s="17" t="str">
        <f>IFERROR(VLOOKUP(B176,'Big Board (by pick)'!A:E,5,FALSE),"")</f>
        <v>Hezekiah Masses</v>
      </c>
      <c r="D176" s="17" t="str">
        <f>IFERROR(VLOOKUP(C176,'Big Board (by rank)'!D:F,3,FALSE),"")</f>
        <v>CB</v>
      </c>
      <c r="E176" s="17" t="str">
        <f>IFERROR(VLOOKUP(C176,'Big Board (by rank)'!D:J,2,FALSE),"")</f>
        <v>California</v>
      </c>
      <c r="F176" s="16">
        <f>IF(SUMIF('Big Board (by rank)'!D:D,C176,'Big Board (by rank)'!A:A)=0,"",SUMIF('Big Board (by rank)'!D:D,C176,'Big Board (by rank)'!A:A))</f>
        <v>166</v>
      </c>
      <c r="G176" s="18" t="str">
        <f>IFERROR(VLOOKUP(C176,'Big Board (by rank)'!D:J,7,FALSE),"")</f>
        <v>Las Vegas Raiders</v>
      </c>
    </row>
    <row r="177">
      <c r="A177" s="16">
        <v>5.0</v>
      </c>
      <c r="B177" s="16">
        <v>176.0</v>
      </c>
      <c r="C177" s="17" t="str">
        <f>IFERROR(VLOOKUP(B177,'Big Board (by pick)'!A:E,5,FALSE),"")</f>
        <v>Cyrus Allen</v>
      </c>
      <c r="D177" s="17" t="str">
        <f>IFERROR(VLOOKUP(C177,'Big Board (by rank)'!D:F,3,FALSE),"")</f>
        <v>WR</v>
      </c>
      <c r="E177" s="17" t="str">
        <f>IFERROR(VLOOKUP(C177,'Big Board (by rank)'!D:J,2,FALSE),"")</f>
        <v>Cincinnati</v>
      </c>
      <c r="F177" s="16">
        <f>IF(SUMIF('Big Board (by rank)'!D:D,C177,'Big Board (by rank)'!A:A)=0,"",SUMIF('Big Board (by rank)'!D:D,C177,'Big Board (by rank)'!A:A))</f>
        <v>184</v>
      </c>
      <c r="G177" s="18" t="str">
        <f>IFERROR(VLOOKUP(C177,'Big Board (by rank)'!D:J,7,FALSE),"")</f>
        <v>Kansas City Chiefs</v>
      </c>
    </row>
    <row r="178">
      <c r="A178" s="16">
        <v>5.0</v>
      </c>
      <c r="B178" s="16">
        <v>177.0</v>
      </c>
      <c r="C178" s="17" t="str">
        <f>IFERROR(VLOOKUP(B178,'Big Board (by pick)'!A:E,5,FALSE),"")</f>
        <v>Kevin Coleman Jr.</v>
      </c>
      <c r="D178" s="17" t="str">
        <f>IFERROR(VLOOKUP(C178,'Big Board (by rank)'!D:F,3,FALSE),"")</f>
        <v>WR</v>
      </c>
      <c r="E178" s="17" t="str">
        <f>IFERROR(VLOOKUP(C178,'Big Board (by rank)'!D:J,2,FALSE),"")</f>
        <v>Missouri</v>
      </c>
      <c r="F178" s="16">
        <f>IF(SUMIF('Big Board (by rank)'!D:D,C178,'Big Board (by rank)'!A:A)=0,"",SUMIF('Big Board (by rank)'!D:D,C178,'Big Board (by rank)'!A:A))</f>
        <v>152</v>
      </c>
      <c r="G178" s="18" t="str">
        <f>IFERROR(VLOOKUP(C178,'Big Board (by rank)'!D:J,7,FALSE),"")</f>
        <v>Miami Dolphins</v>
      </c>
    </row>
    <row r="179">
      <c r="A179" s="16">
        <v>5.0</v>
      </c>
      <c r="B179" s="16">
        <v>178.0</v>
      </c>
      <c r="C179" s="17" t="str">
        <f>IFERROR(VLOOKUP(B179,'Big Board (by pick)'!A:E,5,FALSE),"")</f>
        <v>Cole Payton</v>
      </c>
      <c r="D179" s="17" t="str">
        <f>IFERROR(VLOOKUP(C179,'Big Board (by rank)'!D:F,3,FALSE),"")</f>
        <v>QB</v>
      </c>
      <c r="E179" s="17" t="str">
        <f>IFERROR(VLOOKUP(C179,'Big Board (by rank)'!D:J,2,FALSE),"")</f>
        <v>NDSU</v>
      </c>
      <c r="F179" s="16">
        <f>IF(SUMIF('Big Board (by rank)'!D:D,C179,'Big Board (by rank)'!A:A)=0,"",SUMIF('Big Board (by rank)'!D:D,C179,'Big Board (by rank)'!A:A))</f>
        <v>127</v>
      </c>
      <c r="G179" s="18" t="str">
        <f>IFERROR(VLOOKUP(C179,'Big Board (by rank)'!D:J,7,FALSE),"")</f>
        <v>Philadelphia Eagles</v>
      </c>
    </row>
    <row r="180">
      <c r="A180" s="16">
        <v>5.0</v>
      </c>
      <c r="B180" s="16">
        <v>179.0</v>
      </c>
      <c r="C180" s="17" t="str">
        <f>IFERROR(VLOOKUP(B180,'Big Board (by pick)'!A:E,5,FALSE),"")</f>
        <v>Enrique Cruz Jr.</v>
      </c>
      <c r="D180" s="17" t="str">
        <f>IFERROR(VLOOKUP(C180,'Big Board (by rank)'!D:F,3,FALSE),"")</f>
        <v>OT</v>
      </c>
      <c r="E180" s="17" t="str">
        <f>IFERROR(VLOOKUP(C180,'Big Board (by rank)'!D:J,2,FALSE),"")</f>
        <v>Kansas</v>
      </c>
      <c r="F180" s="16">
        <f>IF(SUMIF('Big Board (by rank)'!D:D,C180,'Big Board (by rank)'!A:A)=0,"",SUMIF('Big Board (by rank)'!D:D,C180,'Big Board (by rank)'!A:A))</f>
        <v>280</v>
      </c>
      <c r="G180" s="18" t="str">
        <f>IFERROR(VLOOKUP(C180,'Big Board (by rank)'!D:J,7,FALSE),"")</f>
        <v>San Francisco 49ers</v>
      </c>
    </row>
    <row r="181">
      <c r="A181" s="16">
        <v>5.0</v>
      </c>
      <c r="B181" s="16">
        <v>180.0</v>
      </c>
      <c r="C181" s="17" t="str">
        <f>IFERROR(VLOOKUP(B181,'Big Board (by pick)'!A:E,5,FALSE),"")</f>
        <v>Seydou Traore</v>
      </c>
      <c r="D181" s="17" t="str">
        <f>IFERROR(VLOOKUP(C181,'Big Board (by rank)'!D:F,3,FALSE),"")</f>
        <v>TE</v>
      </c>
      <c r="E181" s="17" t="str">
        <f>IFERROR(VLOOKUP(C181,'Big Board (by rank)'!D:J,2,FALSE),"")</f>
        <v>Mississippi State</v>
      </c>
      <c r="F181" s="16">
        <f>IF(SUMIF('Big Board (by rank)'!D:D,C181,'Big Board (by rank)'!A:A)=0,"",SUMIF('Big Board (by rank)'!D:D,C181,'Big Board (by rank)'!A:A))</f>
        <v>309</v>
      </c>
      <c r="G181" s="18" t="str">
        <f>IFERROR(VLOOKUP(C181,'Big Board (by rank)'!D:J,7,FALSE),"")</f>
        <v>Miami Dolphins</v>
      </c>
    </row>
    <row r="182">
      <c r="A182" s="16">
        <v>5.0</v>
      </c>
      <c r="B182" s="16">
        <v>181.0</v>
      </c>
      <c r="C182" s="17" t="str">
        <f>IFERROR(VLOOKUP(B182,'Big Board (by pick)'!A:E,5,FALSE),"")</f>
        <v>Zane Durant</v>
      </c>
      <c r="D182" s="17" t="str">
        <f>IFERROR(VLOOKUP(C182,'Big Board (by rank)'!D:F,3,FALSE),"")</f>
        <v>DL3T</v>
      </c>
      <c r="E182" s="17" t="str">
        <f>IFERROR(VLOOKUP(C182,'Big Board (by rank)'!D:J,2,FALSE),"")</f>
        <v>Penn State</v>
      </c>
      <c r="F182" s="16">
        <f>IF(SUMIF('Big Board (by rank)'!D:D,C182,'Big Board (by rank)'!A:A)=0,"",SUMIF('Big Board (by rank)'!D:D,C182,'Big Board (by rank)'!A:A))</f>
        <v>140</v>
      </c>
      <c r="G182" s="18" t="str">
        <f>IFERROR(VLOOKUP(C182,'Big Board (by rank)'!D:J,7,FALSE),"")</f>
        <v>Buffalo Bills</v>
      </c>
    </row>
    <row r="183">
      <c r="A183" s="16">
        <v>6.0</v>
      </c>
      <c r="B183" s="16">
        <v>182.0</v>
      </c>
      <c r="C183" s="17" t="str">
        <f>IFERROR(VLOOKUP(B183,'Big Board (by pick)'!A:E,5,FALSE),"")</f>
        <v>Taylen Green</v>
      </c>
      <c r="D183" s="17" t="str">
        <f>IFERROR(VLOOKUP(C183,'Big Board (by rank)'!D:F,3,FALSE),"")</f>
        <v>QB</v>
      </c>
      <c r="E183" s="17" t="str">
        <f>IFERROR(VLOOKUP(C183,'Big Board (by rank)'!D:J,2,FALSE),"")</f>
        <v>Arkansas</v>
      </c>
      <c r="F183" s="16">
        <f>IF(SUMIF('Big Board (by rank)'!D:D,C183,'Big Board (by rank)'!A:A)=0,"",SUMIF('Big Board (by rank)'!D:D,C183,'Big Board (by rank)'!A:A))</f>
        <v>148</v>
      </c>
      <c r="G183" s="18" t="str">
        <f>IFERROR(VLOOKUP(C183,'Big Board (by rank)'!D:J,7,FALSE),"")</f>
        <v>Cleveland Browns</v>
      </c>
    </row>
    <row r="184">
      <c r="A184" s="16">
        <v>6.0</v>
      </c>
      <c r="B184" s="16">
        <v>183.0</v>
      </c>
      <c r="C184" s="17" t="str">
        <f>IFERROR(VLOOKUP(B184,'Big Board (by pick)'!A:E,5,FALSE),"")</f>
        <v>Karson Sharar</v>
      </c>
      <c r="D184" s="17" t="str">
        <f>IFERROR(VLOOKUP(C184,'Big Board (by rank)'!D:F,3,FALSE),"")</f>
        <v>LB</v>
      </c>
      <c r="E184" s="17" t="str">
        <f>IFERROR(VLOOKUP(C184,'Big Board (by rank)'!D:J,2,FALSE),"")</f>
        <v>Iowa</v>
      </c>
      <c r="F184" s="16">
        <f>IF(SUMIF('Big Board (by rank)'!D:D,C184,'Big Board (by rank)'!A:A)=0,"",SUMIF('Big Board (by rank)'!D:D,C184,'Big Board (by rank)'!A:A))</f>
        <v>301</v>
      </c>
      <c r="G184" s="18" t="str">
        <f>IFERROR(VLOOKUP(C184,'Big Board (by rank)'!D:J,7,FALSE),"")</f>
        <v>Arizona Cardinals</v>
      </c>
    </row>
    <row r="185">
      <c r="A185" s="16">
        <v>6.0</v>
      </c>
      <c r="B185" s="16">
        <v>184.0</v>
      </c>
      <c r="C185" s="17" t="str">
        <f>IFERROR(VLOOKUP(B185,'Big Board (by pick)'!A:E,5,FALSE),"")</f>
        <v>Jackie Marshall</v>
      </c>
      <c r="D185" s="17" t="str">
        <f>IFERROR(VLOOKUP(C185,'Big Board (by rank)'!D:F,3,FALSE),"")</f>
        <v>DL5T</v>
      </c>
      <c r="E185" s="17" t="str">
        <f>IFERROR(VLOOKUP(C185,'Big Board (by rank)'!D:J,2,FALSE),"")</f>
        <v>Baylor</v>
      </c>
      <c r="F185" s="16">
        <f>IF(SUMIF('Big Board (by rank)'!D:D,C185,'Big Board (by rank)'!A:A)=0,"",SUMIF('Big Board (by rank)'!D:D,C185,'Big Board (by rank)'!A:A))</f>
        <v>326</v>
      </c>
      <c r="G185" s="18" t="str">
        <f>IFERROR(VLOOKUP(C185,'Big Board (by rank)'!D:J,7,FALSE),"")</f>
        <v>Tennessee Titans</v>
      </c>
    </row>
    <row r="186">
      <c r="A186" s="16">
        <v>6.0</v>
      </c>
      <c r="B186" s="16">
        <v>185.0</v>
      </c>
      <c r="C186" s="17" t="str">
        <f>IFERROR(VLOOKUP(B186,'Big Board (by pick)'!A:E,5,FALSE),"")</f>
        <v>Bauer Sharp</v>
      </c>
      <c r="D186" s="17" t="str">
        <f>IFERROR(VLOOKUP(C186,'Big Board (by rank)'!D:F,3,FALSE),"")</f>
        <v>TE</v>
      </c>
      <c r="E186" s="17" t="str">
        <f>IFERROR(VLOOKUP(C186,'Big Board (by rank)'!D:J,2,FALSE),"")</f>
        <v>LSU</v>
      </c>
      <c r="F186" s="16">
        <f>IF(SUMIF('Big Board (by rank)'!D:D,C186,'Big Board (by rank)'!A:A)=0,"",SUMIF('Big Board (by rank)'!D:D,C186,'Big Board (by rank)'!A:A))</f>
        <v>355</v>
      </c>
      <c r="G186" s="18" t="str">
        <f>IFERROR(VLOOKUP(C186,'Big Board (by rank)'!D:J,7,FALSE),"")</f>
        <v>Tampa Bay Buccaneers</v>
      </c>
    </row>
    <row r="187">
      <c r="A187" s="16">
        <v>6.0</v>
      </c>
      <c r="B187" s="16">
        <v>186.0</v>
      </c>
      <c r="C187" s="17" t="str">
        <f>IFERROR(VLOOKUP(B187,'Big Board (by pick)'!A:E,5,FALSE),"")</f>
        <v>Bobby Jamison-Travis</v>
      </c>
      <c r="D187" s="17" t="str">
        <f>IFERROR(VLOOKUP(C187,'Big Board (by rank)'!D:F,3,FALSE),"")</f>
        <v>DL1T</v>
      </c>
      <c r="E187" s="17" t="str">
        <f>IFERROR(VLOOKUP(C187,'Big Board (by rank)'!D:J,2,FALSE),"")</f>
        <v>Auburn</v>
      </c>
      <c r="F187" s="16">
        <f>IF(SUMIF('Big Board (by rank)'!D:D,C187,'Big Board (by rank)'!A:A)=0,"",SUMIF('Big Board (by rank)'!D:D,C187,'Big Board (by rank)'!A:A))</f>
        <v>351</v>
      </c>
      <c r="G187" s="18" t="str">
        <f>IFERROR(VLOOKUP(C187,'Big Board (by rank)'!D:J,7,FALSE),"")</f>
        <v>New York Giants</v>
      </c>
    </row>
    <row r="188">
      <c r="A188" s="16">
        <v>6.0</v>
      </c>
      <c r="B188" s="16">
        <v>187.0</v>
      </c>
      <c r="C188" s="17" t="str">
        <f>IFERROR(VLOOKUP(B188,'Big Board (by pick)'!A:E,5,FALSE),"")</f>
        <v>Kaytron Allen</v>
      </c>
      <c r="D188" s="17" t="str">
        <f>IFERROR(VLOOKUP(C188,'Big Board (by rank)'!D:F,3,FALSE),"")</f>
        <v>RB</v>
      </c>
      <c r="E188" s="17" t="str">
        <f>IFERROR(VLOOKUP(C188,'Big Board (by rank)'!D:J,2,FALSE),"")</f>
        <v>Penn State</v>
      </c>
      <c r="F188" s="16">
        <f>IF(SUMIF('Big Board (by rank)'!D:D,C188,'Big Board (by rank)'!A:A)=0,"",SUMIF('Big Board (by rank)'!D:D,C188,'Big Board (by rank)'!A:A))</f>
        <v>130</v>
      </c>
      <c r="G188" s="18" t="str">
        <f>IFERROR(VLOOKUP(C188,'Big Board (by rank)'!D:J,7,FALSE),"")</f>
        <v>Washington Commanders</v>
      </c>
    </row>
    <row r="189">
      <c r="A189" s="16">
        <v>6.0</v>
      </c>
      <c r="B189" s="16">
        <v>188.0</v>
      </c>
      <c r="C189" s="17" t="str">
        <f>IFERROR(VLOOKUP(B189,'Big Board (by pick)'!A:E,5,FALSE),"")</f>
        <v>Anez Cooper</v>
      </c>
      <c r="D189" s="17" t="str">
        <f>IFERROR(VLOOKUP(C189,'Big Board (by rank)'!D:F,3,FALSE),"")</f>
        <v>OG</v>
      </c>
      <c r="E189" s="17" t="str">
        <f>IFERROR(VLOOKUP(C189,'Big Board (by rank)'!D:J,2,FALSE),"")</f>
        <v>Miami (FL)</v>
      </c>
      <c r="F189" s="16">
        <f>IF(SUMIF('Big Board (by rank)'!D:D,C189,'Big Board (by rank)'!A:A)=0,"",SUMIF('Big Board (by rank)'!D:D,C189,'Big Board (by rank)'!A:A))</f>
        <v>212</v>
      </c>
      <c r="G189" s="18" t="str">
        <f>IFERROR(VLOOKUP(C189,'Big Board (by rank)'!D:J,7,FALSE),"")</f>
        <v>New York Jets</v>
      </c>
    </row>
    <row r="190">
      <c r="A190" s="16">
        <v>6.0</v>
      </c>
      <c r="B190" s="16">
        <v>189.0</v>
      </c>
      <c r="C190" s="17" t="str">
        <f>IFERROR(VLOOKUP(B190,'Big Board (by pick)'!A:E,5,FALSE),"")</f>
        <v>Brian Parker II</v>
      </c>
      <c r="D190" s="17" t="str">
        <f>IFERROR(VLOOKUP(C190,'Big Board (by rank)'!D:F,3,FALSE),"")</f>
        <v>OC</v>
      </c>
      <c r="E190" s="17" t="str">
        <f>IFERROR(VLOOKUP(C190,'Big Board (by rank)'!D:J,2,FALSE),"")</f>
        <v>Duke</v>
      </c>
      <c r="F190" s="16">
        <f>IF(SUMIF('Big Board (by rank)'!D:D,C190,'Big Board (by rank)'!A:A)=0,"",SUMIF('Big Board (by rank)'!D:D,C190,'Big Board (by rank)'!A:A))</f>
        <v>111</v>
      </c>
      <c r="G190" s="18" t="str">
        <f>IFERROR(VLOOKUP(C190,'Big Board (by rank)'!D:J,7,FALSE),"")</f>
        <v>Cincinnati Bengals</v>
      </c>
    </row>
    <row r="191">
      <c r="A191" s="16">
        <v>6.0</v>
      </c>
      <c r="B191" s="16">
        <v>190.0</v>
      </c>
      <c r="C191" s="17" t="str">
        <f>IFERROR(VLOOKUP(B191,'Big Board (by pick)'!A:E,5,FALSE),"")</f>
        <v>Barion Brown</v>
      </c>
      <c r="D191" s="17" t="str">
        <f>IFERROR(VLOOKUP(C191,'Big Board (by rank)'!D:F,3,FALSE),"")</f>
        <v>WR</v>
      </c>
      <c r="E191" s="17" t="str">
        <f>IFERROR(VLOOKUP(C191,'Big Board (by rank)'!D:J,2,FALSE),"")</f>
        <v>LSU</v>
      </c>
      <c r="F191" s="16">
        <f>IF(SUMIF('Big Board (by rank)'!D:D,C191,'Big Board (by rank)'!A:A)=0,"",SUMIF('Big Board (by rank)'!D:D,C191,'Big Board (by rank)'!A:A))</f>
        <v>249</v>
      </c>
      <c r="G191" s="18" t="str">
        <f>IFERROR(VLOOKUP(C191,'Big Board (by rank)'!D:J,7,FALSE),"")</f>
        <v>New Orleans Saints</v>
      </c>
    </row>
    <row r="192">
      <c r="A192" s="16">
        <v>6.0</v>
      </c>
      <c r="B192" s="16">
        <v>191.0</v>
      </c>
      <c r="C192" s="17" t="str">
        <f>IFERROR(VLOOKUP(B192,'Big Board (by pick)'!A:E,5,FALSE),"")</f>
        <v>Josh Cameron</v>
      </c>
      <c r="D192" s="17" t="str">
        <f>IFERROR(VLOOKUP(C192,'Big Board (by rank)'!D:F,3,FALSE),"")</f>
        <v>WR</v>
      </c>
      <c r="E192" s="17" t="str">
        <f>IFERROR(VLOOKUP(C192,'Big Board (by rank)'!D:J,2,FALSE),"")</f>
        <v>Baylor</v>
      </c>
      <c r="F192" s="16">
        <f>IF(SUMIF('Big Board (by rank)'!D:D,C192,'Big Board (by rank)'!A:A)=0,"",SUMIF('Big Board (by rank)'!D:D,C192,'Big Board (by rank)'!A:A))</f>
        <v>159</v>
      </c>
      <c r="G192" s="18" t="str">
        <f>IFERROR(VLOOKUP(C192,'Big Board (by rank)'!D:J,7,FALSE),"")</f>
        <v>Jacksonville Jaguars</v>
      </c>
    </row>
    <row r="193">
      <c r="A193" s="16">
        <v>6.0</v>
      </c>
      <c r="B193" s="16">
        <v>192.0</v>
      </c>
      <c r="C193" s="17" t="str">
        <f>IFERROR(VLOOKUP(B193,'Big Board (by pick)'!A:E,5,FALSE),"")</f>
        <v>J.C. Davis</v>
      </c>
      <c r="D193" s="17" t="str">
        <f>IFERROR(VLOOKUP(C193,'Big Board (by rank)'!D:F,3,FALSE),"")</f>
        <v>OT</v>
      </c>
      <c r="E193" s="17" t="str">
        <f>IFERROR(VLOOKUP(C193,'Big Board (by rank)'!D:J,2,FALSE),"")</f>
        <v>Illinois</v>
      </c>
      <c r="F193" s="16">
        <f>IF(SUMIF('Big Board (by rank)'!D:D,C193,'Big Board (by rank)'!A:A)=0,"",SUMIF('Big Board (by rank)'!D:D,C193,'Big Board (by rank)'!A:A))</f>
        <v>154</v>
      </c>
      <c r="G193" s="18" t="str">
        <f>IFERROR(VLOOKUP(C193,'Big Board (by rank)'!D:J,7,FALSE),"")</f>
        <v>New York Giants</v>
      </c>
    </row>
    <row r="194">
      <c r="A194" s="16">
        <v>6.0</v>
      </c>
      <c r="B194" s="16">
        <v>193.0</v>
      </c>
      <c r="C194" s="17" t="str">
        <f>IFERROR(VLOOKUP(B194,'Big Board (by pick)'!A:E,5,FALSE),"")</f>
        <v>Jack Kelly</v>
      </c>
      <c r="D194" s="17" t="str">
        <f>IFERROR(VLOOKUP(C194,'Big Board (by rank)'!D:F,3,FALSE),"")</f>
        <v>LB</v>
      </c>
      <c r="E194" s="17" t="str">
        <f>IFERROR(VLOOKUP(C194,'Big Board (by rank)'!D:J,2,FALSE),"")</f>
        <v>BYU</v>
      </c>
      <c r="F194" s="16">
        <f>IF(SUMIF('Big Board (by rank)'!D:D,C194,'Big Board (by rank)'!A:A)=0,"",SUMIF('Big Board (by rank)'!D:D,C194,'Big Board (by rank)'!A:A))</f>
        <v>189</v>
      </c>
      <c r="G194" s="18" t="str">
        <f>IFERROR(VLOOKUP(C194,'Big Board (by rank)'!D:J,7,FALSE),"")</f>
        <v>New York Giants</v>
      </c>
    </row>
    <row r="195">
      <c r="A195" s="16">
        <v>6.0</v>
      </c>
      <c r="B195" s="16">
        <v>194.0</v>
      </c>
      <c r="C195" s="17" t="str">
        <f>IFERROR(VLOOKUP(B195,'Big Board (by pick)'!A:E,5,FALSE),"")</f>
        <v>Pat Coogan</v>
      </c>
      <c r="D195" s="17" t="str">
        <f>IFERROR(VLOOKUP(C195,'Big Board (by rank)'!D:F,3,FALSE),"")</f>
        <v>OC</v>
      </c>
      <c r="E195" s="17" t="str">
        <f>IFERROR(VLOOKUP(C195,'Big Board (by rank)'!D:J,2,FALSE),"")</f>
        <v>Indiana</v>
      </c>
      <c r="F195" s="16">
        <f>IF(SUMIF('Big Board (by rank)'!D:D,C195,'Big Board (by rank)'!A:A)=0,"",SUMIF('Big Board (by rank)'!D:D,C195,'Big Board (by rank)'!A:A))</f>
        <v>192</v>
      </c>
      <c r="G195" s="18" t="str">
        <f>IFERROR(VLOOKUP(C195,'Big Board (by rank)'!D:J,7,FALSE),"")</f>
        <v>Tennessee Titans</v>
      </c>
    </row>
    <row r="196">
      <c r="A196" s="16">
        <v>6.0</v>
      </c>
      <c r="B196" s="16">
        <v>195.0</v>
      </c>
      <c r="C196" s="17" t="str">
        <f>IFERROR(VLOOKUP(B196,'Big Board (by pick)'!A:E,5,FALSE),"")</f>
        <v>Malik Benson</v>
      </c>
      <c r="D196" s="17" t="str">
        <f>IFERROR(VLOOKUP(C196,'Big Board (by rank)'!D:F,3,FALSE),"")</f>
        <v>WR</v>
      </c>
      <c r="E196" s="17" t="str">
        <f>IFERROR(VLOOKUP(C196,'Big Board (by rank)'!D:J,2,FALSE),"")</f>
        <v>Oregon</v>
      </c>
      <c r="F196" s="16">
        <f>IF(SUMIF('Big Board (by rank)'!D:D,C196,'Big Board (by rank)'!A:A)=0,"",SUMIF('Big Board (by rank)'!D:D,C196,'Big Board (by rank)'!A:A))</f>
        <v>229</v>
      </c>
      <c r="G196" s="18" t="str">
        <f>IFERROR(VLOOKUP(C196,'Big Board (by rank)'!D:J,7,FALSE),"")</f>
        <v>Las Vegas Raiders</v>
      </c>
    </row>
    <row r="197">
      <c r="A197" s="16">
        <v>6.0</v>
      </c>
      <c r="B197" s="16">
        <v>196.0</v>
      </c>
      <c r="C197" s="17" t="str">
        <f>IFERROR(VLOOKUP(B197,'Big Board (by pick)'!A:E,5,FALSE),"")</f>
        <v>Dametrious Crownover</v>
      </c>
      <c r="D197" s="17" t="str">
        <f>IFERROR(VLOOKUP(C197,'Big Board (by rank)'!D:F,3,FALSE),"")</f>
        <v>OT</v>
      </c>
      <c r="E197" s="17" t="str">
        <f>IFERROR(VLOOKUP(C197,'Big Board (by rank)'!D:J,2,FALSE),"")</f>
        <v>Texas A&amp;M</v>
      </c>
      <c r="F197" s="16">
        <f>IF(SUMIF('Big Board (by rank)'!D:D,C197,'Big Board (by rank)'!A:A)=0,"",SUMIF('Big Board (by rank)'!D:D,C197,'Big Board (by rank)'!A:A))</f>
        <v>124</v>
      </c>
      <c r="G197" s="18" t="str">
        <f>IFERROR(VLOOKUP(C197,'Big Board (by rank)'!D:J,7,FALSE),"")</f>
        <v>New England Patriots</v>
      </c>
    </row>
    <row r="198">
      <c r="A198" s="16">
        <v>6.0</v>
      </c>
      <c r="B198" s="16">
        <v>197.0</v>
      </c>
      <c r="C198" s="17" t="str">
        <f>IFERROR(VLOOKUP(B198,'Big Board (by pick)'!A:E,5,FALSE),"")</f>
        <v>CJ Daniels</v>
      </c>
      <c r="D198" s="17" t="str">
        <f>IFERROR(VLOOKUP(C198,'Big Board (by rank)'!D:F,3,FALSE),"")</f>
        <v>WR</v>
      </c>
      <c r="E198" s="17" t="str">
        <f>IFERROR(VLOOKUP(C198,'Big Board (by rank)'!D:J,2,FALSE),"")</f>
        <v>Miami (FL)</v>
      </c>
      <c r="F198" s="16">
        <f>IF(SUMIF('Big Board (by rank)'!D:D,C198,'Big Board (by rank)'!A:A)=0,"",SUMIF('Big Board (by rank)'!D:D,C198,'Big Board (by rank)'!A:A))</f>
        <v>202</v>
      </c>
      <c r="G198" s="18" t="str">
        <f>IFERROR(VLOOKUP(C198,'Big Board (by rank)'!D:J,7,FALSE),"")</f>
        <v>Los Angeles Rams</v>
      </c>
    </row>
    <row r="199">
      <c r="A199" s="16">
        <v>6.0</v>
      </c>
      <c r="B199" s="16">
        <v>198.0</v>
      </c>
      <c r="C199" s="17" t="str">
        <f>IFERROR(VLOOKUP(B199,'Big Board (by pick)'!A:E,5,FALSE),"")</f>
        <v>Demond Claiborne</v>
      </c>
      <c r="D199" s="17" t="str">
        <f>IFERROR(VLOOKUP(C199,'Big Board (by rank)'!D:F,3,FALSE),"")</f>
        <v>RB</v>
      </c>
      <c r="E199" s="17" t="str">
        <f>IFERROR(VLOOKUP(C199,'Big Board (by rank)'!D:J,2,FALSE),"")</f>
        <v>Wake Forest</v>
      </c>
      <c r="F199" s="16">
        <f>IF(SUMIF('Big Board (by rank)'!D:D,C199,'Big Board (by rank)'!A:A)=0,"",SUMIF('Big Board (by rank)'!D:D,C199,'Big Board (by rank)'!A:A))</f>
        <v>144</v>
      </c>
      <c r="G199" s="18" t="str">
        <f>IFERROR(VLOOKUP(C199,'Big Board (by rank)'!D:J,7,FALSE),"")</f>
        <v>Minnesota Vikings</v>
      </c>
    </row>
    <row r="200">
      <c r="A200" s="16">
        <v>6.0</v>
      </c>
      <c r="B200" s="16">
        <v>199.0</v>
      </c>
      <c r="C200" s="17" t="str">
        <f>IFERROR(VLOOKUP(B200,'Big Board (by pick)'!A:E,5,FALSE),"")</f>
        <v>Emmanuel Henderson Jr.</v>
      </c>
      <c r="D200" s="17" t="str">
        <f>IFERROR(VLOOKUP(C200,'Big Board (by rank)'!D:F,3,FALSE),"")</f>
        <v>WR</v>
      </c>
      <c r="E200" s="17" t="str">
        <f>IFERROR(VLOOKUP(C200,'Big Board (by rank)'!D:J,2,FALSE),"")</f>
        <v>Kansas</v>
      </c>
      <c r="F200" s="16">
        <f>IF(SUMIF('Big Board (by rank)'!D:D,C200,'Big Board (by rank)'!A:A)=0,"",SUMIF('Big Board (by rank)'!D:D,C200,'Big Board (by rank)'!A:A))</f>
        <v>338</v>
      </c>
      <c r="G200" s="18" t="str">
        <f>IFERROR(VLOOKUP(C200,'Big Board (by rank)'!D:J,7,FALSE),"")</f>
        <v>Seattle Seahawks</v>
      </c>
    </row>
    <row r="201">
      <c r="A201" s="16">
        <v>6.0</v>
      </c>
      <c r="B201" s="16">
        <v>200.0</v>
      </c>
      <c r="C201" s="17" t="str">
        <f>IFERROR(VLOOKUP(B201,'Big Board (by pick)'!A:E,5,FALSE),"")</f>
        <v>DJ Campbell</v>
      </c>
      <c r="D201" s="17" t="str">
        <f>IFERROR(VLOOKUP(C201,'Big Board (by rank)'!D:F,3,FALSE),"")</f>
        <v>OG</v>
      </c>
      <c r="E201" s="17" t="str">
        <f>IFERROR(VLOOKUP(C201,'Big Board (by rank)'!D:J,2,FALSE),"")</f>
        <v>Texas</v>
      </c>
      <c r="F201" s="16">
        <f>IF(SUMIF('Big Board (by rank)'!D:D,C201,'Big Board (by rank)'!A:A)=0,"",SUMIF('Big Board (by rank)'!D:D,C201,'Big Board (by rank)'!A:A))</f>
        <v>195</v>
      </c>
      <c r="G201" s="18" t="str">
        <f>IFERROR(VLOOKUP(C201,'Big Board (by rank)'!D:J,7,FALSE),"")</f>
        <v>Miami Dolphins</v>
      </c>
    </row>
    <row r="202">
      <c r="A202" s="16">
        <v>6.0</v>
      </c>
      <c r="B202" s="16">
        <v>201.0</v>
      </c>
      <c r="C202" s="17" t="str">
        <f>IFERROR(VLOOKUP(B202,'Big Board (by pick)'!A:E,5,FALSE),"")</f>
        <v>Domani Jackson</v>
      </c>
      <c r="D202" s="17" t="str">
        <f>IFERROR(VLOOKUP(C202,'Big Board (by rank)'!D:F,3,FALSE),"")</f>
        <v>CB</v>
      </c>
      <c r="E202" s="17" t="str">
        <f>IFERROR(VLOOKUP(C202,'Big Board (by rank)'!D:J,2,FALSE),"")</f>
        <v>Alabama</v>
      </c>
      <c r="F202" s="16">
        <f>IF(SUMIF('Big Board (by rank)'!D:D,C202,'Big Board (by rank)'!A:A)=0,"",SUMIF('Big Board (by rank)'!D:D,C202,'Big Board (by rank)'!A:A))</f>
        <v>211</v>
      </c>
      <c r="G202" s="18" t="str">
        <f>IFERROR(VLOOKUP(C202,'Big Board (by rank)'!D:J,7,FALSE),"")</f>
        <v>Green Bay Packers</v>
      </c>
    </row>
    <row r="203">
      <c r="A203" s="16">
        <v>6.0</v>
      </c>
      <c r="B203" s="16">
        <v>202.0</v>
      </c>
      <c r="C203" s="17" t="str">
        <f>IFERROR(VLOOKUP(B203,'Big Board (by pick)'!A:E,5,FALSE),"")</f>
        <v>Logan Taylor</v>
      </c>
      <c r="D203" s="17" t="str">
        <f>IFERROR(VLOOKUP(C203,'Big Board (by rank)'!D:F,3,FALSE),"")</f>
        <v>OG</v>
      </c>
      <c r="E203" s="17" t="str">
        <f>IFERROR(VLOOKUP(C203,'Big Board (by rank)'!D:J,2,FALSE),"")</f>
        <v>Boston College</v>
      </c>
      <c r="F203" s="16">
        <f>IF(SUMIF('Big Board (by rank)'!D:D,C203,'Big Board (by rank)'!A:A)=0,"",SUMIF('Big Board (by rank)'!D:D,C203,'Big Board (by rank)'!A:A))</f>
        <v>218</v>
      </c>
      <c r="G203" s="18" t="str">
        <f>IFERROR(VLOOKUP(C203,'Big Board (by rank)'!D:J,7,FALSE),"")</f>
        <v>Los Angeles Chargers</v>
      </c>
    </row>
    <row r="204">
      <c r="A204" s="16">
        <v>6.0</v>
      </c>
      <c r="B204" s="16">
        <v>203.0</v>
      </c>
      <c r="C204" s="17" t="str">
        <f>IFERROR(VLOOKUP(B204,'Big Board (by pick)'!A:E,5,FALSE),"")</f>
        <v>C.J. Williams</v>
      </c>
      <c r="D204" s="17" t="str">
        <f>IFERROR(VLOOKUP(C204,'Big Board (by rank)'!D:F,3,FALSE),"")</f>
        <v>WR</v>
      </c>
      <c r="E204" s="17" t="str">
        <f>IFERROR(VLOOKUP(C204,'Big Board (by rank)'!D:J,2,FALSE),"")</f>
        <v>Stanford</v>
      </c>
      <c r="F204" s="16">
        <f>IF(SUMIF('Big Board (by rank)'!D:D,C204,'Big Board (by rank)'!A:A)=0,"",SUMIF('Big Board (by rank)'!D:D,C204,'Big Board (by rank)'!A:A))</f>
        <v>678</v>
      </c>
      <c r="G204" s="18" t="str">
        <f>IFERROR(VLOOKUP(C204,'Big Board (by rank)'!D:J,7,FALSE),"")</f>
        <v>Jacksonville Jaguars</v>
      </c>
    </row>
    <row r="205">
      <c r="A205" s="16">
        <v>6.0</v>
      </c>
      <c r="B205" s="16">
        <v>204.0</v>
      </c>
      <c r="C205" s="17" t="str">
        <f>IFERROR(VLOOKUP(B205,'Big Board (by pick)'!A:E,5,FALSE),"")</f>
        <v>Lewis Bond</v>
      </c>
      <c r="D205" s="17" t="str">
        <f>IFERROR(VLOOKUP(C205,'Big Board (by rank)'!D:F,3,FALSE),"")</f>
        <v>WR</v>
      </c>
      <c r="E205" s="17" t="str">
        <f>IFERROR(VLOOKUP(C205,'Big Board (by rank)'!D:J,2,FALSE),"")</f>
        <v>Boston College</v>
      </c>
      <c r="F205" s="16">
        <f>IF(SUMIF('Big Board (by rank)'!D:D,C205,'Big Board (by rank)'!A:A)=0,"",SUMIF('Big Board (by rank)'!D:D,C205,'Big Board (by rank)'!A:A))</f>
        <v>264</v>
      </c>
      <c r="G205" s="18" t="str">
        <f>IFERROR(VLOOKUP(C205,'Big Board (by rank)'!D:J,7,FALSE),"")</f>
        <v>Houston Texans</v>
      </c>
    </row>
    <row r="206">
      <c r="A206" s="16">
        <v>6.0</v>
      </c>
      <c r="B206" s="16">
        <v>205.0</v>
      </c>
      <c r="C206" s="17" t="str">
        <f>IFERROR(VLOOKUP(B206,'Big Board (by pick)'!A:E,5,FALSE),"")</f>
        <v>Skyler Gill-Howard</v>
      </c>
      <c r="D206" s="17" t="str">
        <f>IFERROR(VLOOKUP(C206,'Big Board (by rank)'!D:F,3,FALSE),"")</f>
        <v>DL5T</v>
      </c>
      <c r="E206" s="17" t="str">
        <f>IFERROR(VLOOKUP(C206,'Big Board (by rank)'!D:J,2,FALSE),"")</f>
        <v>Texas Tech</v>
      </c>
      <c r="F206" s="16">
        <f>IF(SUMIF('Big Board (by rank)'!D:D,C206,'Big Board (by rank)'!A:A)=0,"",SUMIF('Big Board (by rank)'!D:D,C206,'Big Board (by rank)'!A:A))</f>
        <v>227</v>
      </c>
      <c r="G206" s="18" t="str">
        <f>IFERROR(VLOOKUP(C206,'Big Board (by rank)'!D:J,7,FALSE),"")</f>
        <v>Detroit Lions</v>
      </c>
    </row>
    <row r="207">
      <c r="A207" s="16">
        <v>6.0</v>
      </c>
      <c r="B207" s="16">
        <v>206.0</v>
      </c>
      <c r="C207" s="17" t="str">
        <f>IFERROR(VLOOKUP(B207,'Big Board (by pick)'!A:E,5,FALSE),"")</f>
        <v>Alex Harkey</v>
      </c>
      <c r="D207" s="17" t="str">
        <f>IFERROR(VLOOKUP(C207,'Big Board (by rank)'!D:F,3,FALSE),"")</f>
        <v>OG</v>
      </c>
      <c r="E207" s="17" t="str">
        <f>IFERROR(VLOOKUP(C207,'Big Board (by rank)'!D:J,2,FALSE),"")</f>
        <v>Oregon</v>
      </c>
      <c r="F207" s="16">
        <f>IF(SUMIF('Big Board (by rank)'!D:D,C207,'Big Board (by rank)'!A:A)=0,"",SUMIF('Big Board (by rank)'!D:D,C207,'Big Board (by rank)'!A:A))</f>
        <v>246</v>
      </c>
      <c r="G207" s="18" t="str">
        <f>IFERROR(VLOOKUP(C207,'Big Board (by rank)'!D:J,7,FALSE),"")</f>
        <v>Los Angeles Chargers</v>
      </c>
    </row>
    <row r="208">
      <c r="A208" s="16">
        <v>6.0</v>
      </c>
      <c r="B208" s="16">
        <v>207.0</v>
      </c>
      <c r="C208" s="17" t="str">
        <f>IFERROR(VLOOKUP(B208,'Big Board (by pick)'!A:E,5,FALSE),"")</f>
        <v>Micah Morris</v>
      </c>
      <c r="D208" s="17" t="str">
        <f>IFERROR(VLOOKUP(C208,'Big Board (by rank)'!D:F,3,FALSE),"")</f>
        <v>OG</v>
      </c>
      <c r="E208" s="17" t="str">
        <f>IFERROR(VLOOKUP(C208,'Big Board (by rank)'!D:J,2,FALSE),"")</f>
        <v>Georgia</v>
      </c>
      <c r="F208" s="16">
        <f>IF(SUMIF('Big Board (by rank)'!D:D,C208,'Big Board (by rank)'!A:A)=0,"",SUMIF('Big Board (by rank)'!D:D,C208,'Big Board (by rank)'!A:A))</f>
        <v>221</v>
      </c>
      <c r="G208" s="18" t="str">
        <f>IFERROR(VLOOKUP(C208,'Big Board (by rank)'!D:J,7,FALSE),"")</f>
        <v>Philadelphia Eagles</v>
      </c>
    </row>
    <row r="209">
      <c r="A209" s="16">
        <v>6.0</v>
      </c>
      <c r="B209" s="16">
        <v>208.0</v>
      </c>
      <c r="C209" s="17" t="str">
        <f>IFERROR(VLOOKUP(B209,'Big Board (by pick)'!A:E,5,FALSE),"")</f>
        <v>Anterio Thompson</v>
      </c>
      <c r="D209" s="17" t="str">
        <f>IFERROR(VLOOKUP(C209,'Big Board (by rank)'!D:F,3,FALSE),"")</f>
        <v>DL3T</v>
      </c>
      <c r="E209" s="17" t="str">
        <f>IFERROR(VLOOKUP(C209,'Big Board (by rank)'!D:J,2,FALSE),"")</f>
        <v>Washington</v>
      </c>
      <c r="F209" s="16">
        <f>IF(SUMIF('Big Board (by rank)'!D:D,C209,'Big Board (by rank)'!A:A)=0,"",SUMIF('Big Board (by rank)'!D:D,C209,'Big Board (by rank)'!A:A))</f>
        <v>433</v>
      </c>
      <c r="G209" s="18" t="str">
        <f>IFERROR(VLOOKUP(C209,'Big Board (by rank)'!D:J,7,FALSE),"")</f>
        <v>Atlanta Falcons</v>
      </c>
    </row>
    <row r="210">
      <c r="A210" s="16">
        <v>6.0</v>
      </c>
      <c r="B210" s="16">
        <v>209.0</v>
      </c>
      <c r="C210" s="17" t="str">
        <f>IFERROR(VLOOKUP(B210,'Big Board (by pick)'!A:E,5,FALSE),"")</f>
        <v>Matt Gulbin</v>
      </c>
      <c r="D210" s="17" t="str">
        <f>IFERROR(VLOOKUP(C210,'Big Board (by rank)'!D:F,3,FALSE),"")</f>
        <v>OC</v>
      </c>
      <c r="E210" s="17" t="str">
        <f>IFERROR(VLOOKUP(C210,'Big Board (by rank)'!D:J,2,FALSE),"")</f>
        <v>Michigan State</v>
      </c>
      <c r="F210" s="16">
        <f>IF(SUMIF('Big Board (by rank)'!D:D,C210,'Big Board (by rank)'!A:A)=0,"",SUMIF('Big Board (by rank)'!D:D,C210,'Big Board (by rank)'!A:A))</f>
        <v>168</v>
      </c>
      <c r="G210" s="18" t="str">
        <f>IFERROR(VLOOKUP(C210,'Big Board (by rank)'!D:J,7,FALSE),"")</f>
        <v>Washington Commanders</v>
      </c>
    </row>
    <row r="211">
      <c r="A211" s="16">
        <v>6.0</v>
      </c>
      <c r="B211" s="16">
        <v>210.0</v>
      </c>
      <c r="C211" s="17" t="str">
        <f>IFERROR(VLOOKUP(B211,'Big Board (by pick)'!A:E,5,FALSE),"")</f>
        <v>Gabriel Rubio</v>
      </c>
      <c r="D211" s="17" t="str">
        <f>IFERROR(VLOOKUP(C211,'Big Board (by rank)'!D:F,3,FALSE),"")</f>
        <v>DL3T</v>
      </c>
      <c r="E211" s="17" t="str">
        <f>IFERROR(VLOOKUP(C211,'Big Board (by rank)'!D:J,2,FALSE),"")</f>
        <v>Notre Dame</v>
      </c>
      <c r="F211" s="16">
        <f>IF(SUMIF('Big Board (by rank)'!D:D,C211,'Big Board (by rank)'!A:A)=0,"",SUMIF('Big Board (by rank)'!D:D,C211,'Big Board (by rank)'!A:A))</f>
        <v>635</v>
      </c>
      <c r="G211" s="18" t="str">
        <f>IFERROR(VLOOKUP(C211,'Big Board (by rank)'!D:J,7,FALSE),"")</f>
        <v>Pittsburgh Steelers</v>
      </c>
    </row>
    <row r="212">
      <c r="A212" s="16">
        <v>6.0</v>
      </c>
      <c r="B212" s="16">
        <v>211.0</v>
      </c>
      <c r="C212" s="17" t="str">
        <f>IFERROR(VLOOKUP(B212,'Big Board (by pick)'!A:E,5,FALSE),"")</f>
        <v>Ryan Eckley</v>
      </c>
      <c r="D212" s="17" t="str">
        <f>IFERROR(VLOOKUP(C212,'Big Board (by rank)'!D:F,3,FALSE),"")</f>
        <v>P</v>
      </c>
      <c r="E212" s="17" t="str">
        <f>IFERROR(VLOOKUP(C212,'Big Board (by rank)'!D:J,2,FALSE),"")</f>
        <v>Michigan State</v>
      </c>
      <c r="F212" s="16">
        <f>IF(SUMIF('Big Board (by rank)'!D:D,C212,'Big Board (by rank)'!A:A)=0,"",SUMIF('Big Board (by rank)'!D:D,C212,'Big Board (by rank)'!A:A))</f>
        <v>360</v>
      </c>
      <c r="G212" s="18" t="str">
        <f>IFERROR(VLOOKUP(C212,'Big Board (by rank)'!D:J,7,FALSE),"")</f>
        <v>Baltimore Ravens</v>
      </c>
    </row>
    <row r="213">
      <c r="A213" s="16">
        <v>6.0</v>
      </c>
      <c r="B213" s="16">
        <v>212.0</v>
      </c>
      <c r="C213" s="17" t="str">
        <f>IFERROR(VLOOKUP(B213,'Big Board (by pick)'!A:E,5,FALSE),"")</f>
        <v>Namdi Obiazor</v>
      </c>
      <c r="D213" s="17" t="str">
        <f>IFERROR(VLOOKUP(C213,'Big Board (by rank)'!D:F,3,FALSE),"")</f>
        <v>LB</v>
      </c>
      <c r="E213" s="17" t="str">
        <f>IFERROR(VLOOKUP(C213,'Big Board (by rank)'!D:J,2,FALSE),"")</f>
        <v>TCU</v>
      </c>
      <c r="F213" s="16">
        <f>IF(SUMIF('Big Board (by rank)'!D:D,C213,'Big Board (by rank)'!A:A)=0,"",SUMIF('Big Board (by rank)'!D:D,C213,'Big Board (by rank)'!A:A))</f>
        <v>297</v>
      </c>
      <c r="G213" s="18" t="str">
        <f>IFERROR(VLOOKUP(C213,'Big Board (by rank)'!D:J,7,FALSE),"")</f>
        <v>New England Patriots</v>
      </c>
    </row>
    <row r="214">
      <c r="A214" s="16">
        <v>6.0</v>
      </c>
      <c r="B214" s="16">
        <v>213.0</v>
      </c>
      <c r="C214" s="17" t="str">
        <f>IFERROR(VLOOKUP(B214,'Big Board (by pick)'!A:E,5,FALSE),"")</f>
        <v>Jordan van den Berg</v>
      </c>
      <c r="D214" s="17" t="str">
        <f>IFERROR(VLOOKUP(C214,'Big Board (by rank)'!D:F,3,FALSE),"")</f>
        <v>DL5T</v>
      </c>
      <c r="E214" s="17" t="str">
        <f>IFERROR(VLOOKUP(C214,'Big Board (by rank)'!D:J,2,FALSE),"")</f>
        <v>Georgia Tech</v>
      </c>
      <c r="F214" s="16">
        <f>IF(SUMIF('Big Board (by rank)'!D:D,C214,'Big Board (by rank)'!A:A)=0,"",SUMIF('Big Board (by rank)'!D:D,C214,'Big Board (by rank)'!A:A))</f>
        <v>244</v>
      </c>
      <c r="G214" s="18" t="str">
        <f>IFERROR(VLOOKUP(C214,'Big Board (by rank)'!D:J,7,FALSE),"")</f>
        <v>Chicago Bears</v>
      </c>
    </row>
    <row r="215">
      <c r="A215" s="16">
        <v>6.0</v>
      </c>
      <c r="B215" s="16">
        <v>214.0</v>
      </c>
      <c r="C215" s="17" t="str">
        <f>IFERROR(VLOOKUP(B215,'Big Board (by pick)'!A:E,5,FALSE),"")</f>
        <v>Caden Curry</v>
      </c>
      <c r="D215" s="17" t="str">
        <f>IFERROR(VLOOKUP(C215,'Big Board (by rank)'!D:F,3,FALSE),"")</f>
        <v>EDGE</v>
      </c>
      <c r="E215" s="17" t="str">
        <f>IFERROR(VLOOKUP(C215,'Big Board (by rank)'!D:J,2,FALSE),"")</f>
        <v>Ohio State</v>
      </c>
      <c r="F215" s="16">
        <f>IF(SUMIF('Big Board (by rank)'!D:D,C215,'Big Board (by rank)'!A:A)=0,"",SUMIF('Big Board (by rank)'!D:D,C215,'Big Board (by rank)'!A:A))</f>
        <v>161</v>
      </c>
      <c r="G215" s="18" t="str">
        <f>IFERROR(VLOOKUP(C215,'Big Board (by rank)'!D:J,7,FALSE),"")</f>
        <v>Indianapolis Colts</v>
      </c>
    </row>
    <row r="216">
      <c r="A216" s="16">
        <v>6.0</v>
      </c>
      <c r="B216" s="16">
        <v>215.0</v>
      </c>
      <c r="C216" s="17" t="str">
        <f>IFERROR(VLOOKUP(B216,'Big Board (by pick)'!A:E,5,FALSE),"")</f>
        <v>Harold Perkins Jr.</v>
      </c>
      <c r="D216" s="17" t="str">
        <f>IFERROR(VLOOKUP(C216,'Big Board (by rank)'!D:F,3,FALSE),"")</f>
        <v>LB</v>
      </c>
      <c r="E216" s="17" t="str">
        <f>IFERROR(VLOOKUP(C216,'Big Board (by rank)'!D:J,2,FALSE),"")</f>
        <v>LSU</v>
      </c>
      <c r="F216" s="16">
        <f>IF(SUMIF('Big Board (by rank)'!D:D,C216,'Big Board (by rank)'!A:A)=0,"",SUMIF('Big Board (by rank)'!D:D,C216,'Big Board (by rank)'!A:A))</f>
        <v>139</v>
      </c>
      <c r="G216" s="18" t="str">
        <f>IFERROR(VLOOKUP(C216,'Big Board (by rank)'!D:J,7,FALSE),"")</f>
        <v>Atlanta Falcons</v>
      </c>
    </row>
    <row r="217">
      <c r="A217" s="16">
        <v>6.0</v>
      </c>
      <c r="B217" s="16">
        <v>216.0</v>
      </c>
      <c r="C217" s="17" t="str">
        <f>IFERROR(VLOOKUP(B217,'Big Board (by pick)'!A:E,5,FALSE),"")</f>
        <v>Trey Smack</v>
      </c>
      <c r="D217" s="17" t="str">
        <f>IFERROR(VLOOKUP(C217,'Big Board (by rank)'!D:F,3,FALSE),"")</f>
        <v>PK</v>
      </c>
      <c r="E217" s="17" t="str">
        <f>IFERROR(VLOOKUP(C217,'Big Board (by rank)'!D:J,2,FALSE),"")</f>
        <v>Florida</v>
      </c>
      <c r="F217" s="16">
        <f>IF(SUMIF('Big Board (by rank)'!D:D,C217,'Big Board (by rank)'!A:A)=0,"",SUMIF('Big Board (by rank)'!D:D,C217,'Big Board (by rank)'!A:A))</f>
        <v>352</v>
      </c>
      <c r="G217" s="18" t="str">
        <f>IFERROR(VLOOKUP(C217,'Big Board (by rank)'!D:J,7,FALSE),"")</f>
        <v>Green Bay Packers</v>
      </c>
    </row>
    <row r="218">
      <c r="A218" s="16">
        <v>7.0</v>
      </c>
      <c r="B218" s="16">
        <v>217.0</v>
      </c>
      <c r="C218" s="17" t="str">
        <f>IFERROR(VLOOKUP(B218,'Big Board (by pick)'!A:E,5,FALSE),"")</f>
        <v>Jayden Williams</v>
      </c>
      <c r="D218" s="17" t="str">
        <f>IFERROR(VLOOKUP(C218,'Big Board (by rank)'!D:F,3,FALSE),"")</f>
        <v>OT</v>
      </c>
      <c r="E218" s="17" t="str">
        <f>IFERROR(VLOOKUP(C218,'Big Board (by rank)'!D:J,2,FALSE),"")</f>
        <v>Ole Miss</v>
      </c>
      <c r="F218" s="16">
        <f>IF(SUMIF('Big Board (by rank)'!D:D,C218,'Big Board (by rank)'!A:A)=0,"",SUMIF('Big Board (by rank)'!D:D,C218,'Big Board (by rank)'!A:A))</f>
        <v>386</v>
      </c>
      <c r="G218" s="18" t="str">
        <f>IFERROR(VLOOKUP(C218,'Big Board (by rank)'!D:J,7,FALSE),"")</f>
        <v>Arizona Cardinals</v>
      </c>
    </row>
    <row r="219">
      <c r="A219" s="16">
        <v>7.0</v>
      </c>
      <c r="B219" s="16">
        <v>218.0</v>
      </c>
      <c r="C219" s="17" t="str">
        <f>IFERROR(VLOOKUP(B219,'Big Board (by pick)'!A:E,5,FALSE),"")</f>
        <v>Anthony Smith</v>
      </c>
      <c r="D219" s="17" t="str">
        <f>IFERROR(VLOOKUP(C219,'Big Board (by rank)'!D:F,3,FALSE),"")</f>
        <v>WR</v>
      </c>
      <c r="E219" s="17" t="str">
        <f>IFERROR(VLOOKUP(C219,'Big Board (by rank)'!D:J,2,FALSE),"")</f>
        <v>East Carolina</v>
      </c>
      <c r="F219" s="16">
        <f>IF(SUMIF('Big Board (by rank)'!D:D,C219,'Big Board (by rank)'!A:A)=0,"",SUMIF('Big Board (by rank)'!D:D,C219,'Big Board (by rank)'!A:A))</f>
        <v>438</v>
      </c>
      <c r="G219" s="18" t="str">
        <f>IFERROR(VLOOKUP(C219,'Big Board (by rank)'!D:J,7,FALSE),"")</f>
        <v>Dallas Cowboys</v>
      </c>
    </row>
    <row r="220">
      <c r="A220" s="16">
        <v>7.0</v>
      </c>
      <c r="B220" s="16">
        <v>219.0</v>
      </c>
      <c r="C220" s="17" t="str">
        <f>IFERROR(VLOOKUP(B220,'Big Board (by pick)'!A:E,5,FALSE),"")</f>
        <v>TJ Hall</v>
      </c>
      <c r="D220" s="17" t="str">
        <f>IFERROR(VLOOKUP(C220,'Big Board (by rank)'!D:F,3,FALSE),"")</f>
        <v>CB</v>
      </c>
      <c r="E220" s="17" t="str">
        <f>IFERROR(VLOOKUP(C220,'Big Board (by rank)'!D:J,2,FALSE),"")</f>
        <v>Iowa</v>
      </c>
      <c r="F220" s="16">
        <f>IF(SUMIF('Big Board (by rank)'!D:D,C220,'Big Board (by rank)'!A:A)=0,"",SUMIF('Big Board (by rank)'!D:D,C220,'Big Board (by rank)'!A:A))</f>
        <v>209</v>
      </c>
      <c r="G220" s="18" t="str">
        <f>IFERROR(VLOOKUP(C220,'Big Board (by rank)'!D:J,7,FALSE),"")</f>
        <v>New Orleans Saints</v>
      </c>
    </row>
    <row r="221">
      <c r="A221" s="16">
        <v>7.0</v>
      </c>
      <c r="B221" s="16">
        <v>220.0</v>
      </c>
      <c r="C221" s="17" t="str">
        <f>IFERROR(VLOOKUP(B221,'Big Board (by pick)'!A:E,5,FALSE),"")</f>
        <v>Toriano Pride Jr.</v>
      </c>
      <c r="D221" s="17" t="str">
        <f>IFERROR(VLOOKUP(C221,'Big Board (by rank)'!D:F,3,FALSE),"")</f>
        <v>CB</v>
      </c>
      <c r="E221" s="17" t="str">
        <f>IFERROR(VLOOKUP(C221,'Big Board (by rank)'!D:J,2,FALSE),"")</f>
        <v>Missouri</v>
      </c>
      <c r="F221" s="16">
        <f>IF(SUMIF('Big Board (by rank)'!D:D,C221,'Big Board (by rank)'!A:A)=0,"",SUMIF('Big Board (by rank)'!D:D,C221,'Big Board (by rank)'!A:A))</f>
        <v>262</v>
      </c>
      <c r="G221" s="18" t="str">
        <f>IFERROR(VLOOKUP(C221,'Big Board (by rank)'!D:J,7,FALSE),"")</f>
        <v>Buffalo Bills</v>
      </c>
    </row>
    <row r="222">
      <c r="A222" s="16">
        <v>7.0</v>
      </c>
      <c r="B222" s="16">
        <v>221.0</v>
      </c>
      <c r="C222" s="17" t="str">
        <f>IFERROR(VLOOKUP(B222,'Big Board (by pick)'!A:E,5,FALSE),"")</f>
        <v>Jack Endries</v>
      </c>
      <c r="D222" s="17" t="str">
        <f>IFERROR(VLOOKUP(C222,'Big Board (by rank)'!D:F,3,FALSE),"")</f>
        <v>TE</v>
      </c>
      <c r="E222" s="17" t="str">
        <f>IFERROR(VLOOKUP(C222,'Big Board (by rank)'!D:J,2,FALSE),"")</f>
        <v>Texas</v>
      </c>
      <c r="F222" s="16">
        <f>IF(SUMIF('Big Board (by rank)'!D:D,C222,'Big Board (by rank)'!A:A)=0,"",SUMIF('Big Board (by rank)'!D:D,C222,'Big Board (by rank)'!A:A))</f>
        <v>128</v>
      </c>
      <c r="G222" s="18" t="str">
        <f>IFERROR(VLOOKUP(C222,'Big Board (by rank)'!D:J,7,FALSE),"")</f>
        <v>Cincinnati Bengals</v>
      </c>
    </row>
    <row r="223">
      <c r="A223" s="16">
        <v>7.0</v>
      </c>
      <c r="B223" s="16">
        <v>222.0</v>
      </c>
      <c r="C223" s="17" t="str">
        <f>IFERROR(VLOOKUP(B223,'Big Board (by pick)'!A:E,5,FALSE),"")</f>
        <v>Tyre West</v>
      </c>
      <c r="D223" s="17" t="str">
        <f>IFERROR(VLOOKUP(C223,'Big Board (by rank)'!D:F,3,FALSE),"")</f>
        <v>DL3T</v>
      </c>
      <c r="E223" s="17" t="str">
        <f>IFERROR(VLOOKUP(C223,'Big Board (by rank)'!D:J,2,FALSE),"")</f>
        <v>Tennessee</v>
      </c>
      <c r="F223" s="16">
        <f>IF(SUMIF('Big Board (by rank)'!D:D,C223,'Big Board (by rank)'!A:A)=0,"",SUMIF('Big Board (by rank)'!D:D,C223,'Big Board (by rank)'!A:A))</f>
        <v>378</v>
      </c>
      <c r="G223" s="18" t="str">
        <f>IFERROR(VLOOKUP(C223,'Big Board (by rank)'!D:J,7,FALSE),"")</f>
        <v>Detroit Lions</v>
      </c>
    </row>
    <row r="224">
      <c r="A224" s="16">
        <v>7.0</v>
      </c>
      <c r="B224" s="16">
        <v>223.0</v>
      </c>
      <c r="C224" s="17" t="str">
        <f>IFERROR(VLOOKUP(B224,'Big Board (by pick)'!A:E,5,FALSE),"")</f>
        <v>Athan Kaliakmanis</v>
      </c>
      <c r="D224" s="17" t="str">
        <f>IFERROR(VLOOKUP(C224,'Big Board (by rank)'!D:F,3,FALSE),"")</f>
        <v>QB</v>
      </c>
      <c r="E224" s="17" t="str">
        <f>IFERROR(VLOOKUP(C224,'Big Board (by rank)'!D:J,2,FALSE),"")</f>
        <v>Rutgers</v>
      </c>
      <c r="F224" s="16">
        <f>IF(SUMIF('Big Board (by rank)'!D:D,C224,'Big Board (by rank)'!A:A)=0,"",SUMIF('Big Board (by rank)'!D:D,C224,'Big Board (by rank)'!A:A))</f>
        <v>382</v>
      </c>
      <c r="G224" s="18" t="str">
        <f>IFERROR(VLOOKUP(C224,'Big Board (by rank)'!D:J,7,FALSE),"")</f>
        <v>Washington Commanders</v>
      </c>
    </row>
    <row r="225">
      <c r="A225" s="16">
        <v>7.0</v>
      </c>
      <c r="B225" s="16">
        <v>224.0</v>
      </c>
      <c r="C225" s="17" t="str">
        <f>IFERROR(VLOOKUP(B225,'Big Board (by pick)'!A:E,5,FALSE),"")</f>
        <v>Robert Spears-Jennings</v>
      </c>
      <c r="D225" s="17" t="str">
        <f>IFERROR(VLOOKUP(C225,'Big Board (by rank)'!D:F,3,FALSE),"")</f>
        <v>S</v>
      </c>
      <c r="E225" s="17" t="str">
        <f>IFERROR(VLOOKUP(C225,'Big Board (by rank)'!D:J,2,FALSE),"")</f>
        <v>Oklahoma</v>
      </c>
      <c r="F225" s="16">
        <f>IF(SUMIF('Big Board (by rank)'!D:D,C225,'Big Board (by rank)'!A:A)=0,"",SUMIF('Big Board (by rank)'!D:D,C225,'Big Board (by rank)'!A:A))</f>
        <v>210</v>
      </c>
      <c r="G225" s="18" t="str">
        <f>IFERROR(VLOOKUP(C225,'Big Board (by rank)'!D:J,7,FALSE),"")</f>
        <v>Pittsburgh Steelers</v>
      </c>
    </row>
    <row r="226">
      <c r="A226" s="16">
        <v>7.0</v>
      </c>
      <c r="B226" s="16">
        <v>225.0</v>
      </c>
      <c r="C226" s="17" t="str">
        <f>IFERROR(VLOOKUP(B226,'Big Board (by pick)'!A:E,5,FALSE),"")</f>
        <v>Jaren Kanak</v>
      </c>
      <c r="D226" s="17" t="str">
        <f>IFERROR(VLOOKUP(C226,'Big Board (by rank)'!D:F,3,FALSE),"")</f>
        <v>TE</v>
      </c>
      <c r="E226" s="17" t="str">
        <f>IFERROR(VLOOKUP(C226,'Big Board (by rank)'!D:J,2,FALSE),"")</f>
        <v>Oklahoma</v>
      </c>
      <c r="F226" s="16">
        <f>IF(SUMIF('Big Board (by rank)'!D:D,C226,'Big Board (by rank)'!A:A)=0,"",SUMIF('Big Board (by rank)'!D:D,C226,'Big Board (by rank)'!A:A))</f>
        <v>273</v>
      </c>
      <c r="G226" s="18" t="str">
        <f>IFERROR(VLOOKUP(C226,'Big Board (by rank)'!D:J,7,FALSE),"")</f>
        <v>Tennessee Titans</v>
      </c>
    </row>
    <row r="227">
      <c r="A227" s="16">
        <v>7.0</v>
      </c>
      <c r="B227" s="16">
        <v>226.0</v>
      </c>
      <c r="C227" s="17" t="str">
        <f>IFERROR(VLOOKUP(B227,'Big Board (by pick)'!A:E,5,FALSE),"")</f>
        <v>Landon Robinson</v>
      </c>
      <c r="D227" s="17" t="str">
        <f>IFERROR(VLOOKUP(C227,'Big Board (by rank)'!D:F,3,FALSE),"")</f>
        <v>DL5T</v>
      </c>
      <c r="E227" s="17" t="str">
        <f>IFERROR(VLOOKUP(C227,'Big Board (by rank)'!D:J,2,FALSE),"")</f>
        <v>Navy</v>
      </c>
      <c r="F227" s="16">
        <f>IF(SUMIF('Big Board (by rank)'!D:D,C227,'Big Board (by rank)'!A:A)=0,"",SUMIF('Big Board (by rank)'!D:D,C227,'Big Board (by rank)'!A:A))</f>
        <v>215</v>
      </c>
      <c r="G227" s="18" t="str">
        <f>IFERROR(VLOOKUP(C227,'Big Board (by rank)'!D:J,7,FALSE),"")</f>
        <v>Cincinnati Bengals</v>
      </c>
    </row>
    <row r="228">
      <c r="A228" s="16">
        <v>7.0</v>
      </c>
      <c r="B228" s="16">
        <v>227.0</v>
      </c>
      <c r="C228" s="17" t="str">
        <f>IFERROR(VLOOKUP(B228,'Big Board (by pick)'!A:E,5,FALSE),"")</f>
        <v>Jackson Kuwatch</v>
      </c>
      <c r="D228" s="17" t="str">
        <f>IFERROR(VLOOKUP(C228,'Big Board (by rank)'!D:F,3,FALSE),"")</f>
        <v>LB</v>
      </c>
      <c r="E228" s="17" t="str">
        <f>IFERROR(VLOOKUP(C228,'Big Board (by rank)'!D:J,2,FALSE),"")</f>
        <v>Miami (OH)</v>
      </c>
      <c r="F228" s="16">
        <f>IF(SUMIF('Big Board (by rank)'!D:D,C228,'Big Board (by rank)'!A:A)=0,"",SUMIF('Big Board (by rank)'!D:D,C228,'Big Board (by rank)'!A:A))</f>
        <v>346</v>
      </c>
      <c r="G228" s="18" t="str">
        <f>IFERROR(VLOOKUP(C228,'Big Board (by rank)'!D:J,7,FALSE),"")</f>
        <v>Carolina Panthers</v>
      </c>
    </row>
    <row r="229">
      <c r="A229" s="16">
        <v>7.0</v>
      </c>
      <c r="B229" s="16">
        <v>228.0</v>
      </c>
      <c r="C229" s="17" t="str">
        <f>IFERROR(VLOOKUP(B229,'Big Board (by pick)'!A:E,5,FALSE),"")</f>
        <v>V.J. Payne</v>
      </c>
      <c r="D229" s="17" t="str">
        <f>IFERROR(VLOOKUP(C229,'Big Board (by rank)'!D:F,3,FALSE),"")</f>
        <v>S</v>
      </c>
      <c r="E229" s="17" t="str">
        <f>IFERROR(VLOOKUP(C229,'Big Board (by rank)'!D:J,2,FALSE),"")</f>
        <v>Kansas State</v>
      </c>
      <c r="F229" s="16">
        <f>IF(SUMIF('Big Board (by rank)'!D:D,C229,'Big Board (by rank)'!A:A)=0,"",SUMIF('Big Board (by rank)'!D:D,C229,'Big Board (by rank)'!A:A))</f>
        <v>122</v>
      </c>
      <c r="G229" s="18" t="str">
        <f>IFERROR(VLOOKUP(C229,'Big Board (by rank)'!D:J,7,FALSE),"")</f>
        <v>New York Jets</v>
      </c>
    </row>
    <row r="230">
      <c r="A230" s="16">
        <v>7.0</v>
      </c>
      <c r="B230" s="16">
        <v>229.0</v>
      </c>
      <c r="C230" s="17" t="str">
        <f>IFERROR(VLOOKUP(B230,'Big Board (by pick)'!A:E,5,FALSE),"")</f>
        <v>Brandon Cleveland</v>
      </c>
      <c r="D230" s="17" t="str">
        <f>IFERROR(VLOOKUP(C230,'Big Board (by rank)'!D:F,3,FALSE),"")</f>
        <v>DL3T</v>
      </c>
      <c r="E230" s="17" t="str">
        <f>IFERROR(VLOOKUP(C230,'Big Board (by rank)'!D:J,2,FALSE),"")</f>
        <v>NC State</v>
      </c>
      <c r="F230" s="16">
        <f>IF(SUMIF('Big Board (by rank)'!D:D,C230,'Big Board (by rank)'!A:A)=0,"",SUMIF('Big Board (by rank)'!D:D,C230,'Big Board (by rank)'!A:A))</f>
        <v>254</v>
      </c>
      <c r="G230" s="18" t="str">
        <f>IFERROR(VLOOKUP(C230,'Big Board (by rank)'!D:J,7,FALSE),"")</f>
        <v>Las Vegas Raiders</v>
      </c>
    </row>
    <row r="231">
      <c r="A231" s="16">
        <v>7.0</v>
      </c>
      <c r="B231" s="16">
        <v>230.0</v>
      </c>
      <c r="C231" s="17" t="str">
        <f>IFERROR(VLOOKUP(B231,'Big Board (by pick)'!A:E,5,FALSE),"")</f>
        <v>Eli Heidenreich</v>
      </c>
      <c r="D231" s="17" t="str">
        <f>IFERROR(VLOOKUP(C231,'Big Board (by rank)'!D:F,3,FALSE),"")</f>
        <v>RB</v>
      </c>
      <c r="E231" s="17" t="str">
        <f>IFERROR(VLOOKUP(C231,'Big Board (by rank)'!D:J,2,FALSE),"")</f>
        <v>Navy</v>
      </c>
      <c r="F231" s="16">
        <f>IF(SUMIF('Big Board (by rank)'!D:D,C231,'Big Board (by rank)'!A:A)=0,"",SUMIF('Big Board (by rank)'!D:D,C231,'Big Board (by rank)'!A:A))</f>
        <v>201</v>
      </c>
      <c r="G231" s="18" t="str">
        <f>IFERROR(VLOOKUP(C231,'Big Board (by rank)'!D:J,7,FALSE),"")</f>
        <v>Pittsburgh Steelers</v>
      </c>
    </row>
    <row r="232">
      <c r="A232" s="16">
        <v>7.0</v>
      </c>
      <c r="B232" s="16">
        <v>231.0</v>
      </c>
      <c r="C232" s="17" t="str">
        <f>IFERROR(VLOOKUP(B232,'Big Board (by pick)'!A:E,5,FALSE),"")</f>
        <v>Ethan Onianwa</v>
      </c>
      <c r="D232" s="17" t="str">
        <f>IFERROR(VLOOKUP(C232,'Big Board (by rank)'!D:F,3,FALSE),"")</f>
        <v>OT</v>
      </c>
      <c r="E232" s="17" t="str">
        <f>IFERROR(VLOOKUP(C232,'Big Board (by rank)'!D:J,2,FALSE),"")</f>
        <v>Ohio State</v>
      </c>
      <c r="F232" s="16">
        <f>IF(SUMIF('Big Board (by rank)'!D:D,C232,'Big Board (by rank)'!A:A)=0,"",SUMIF('Big Board (by rank)'!D:D,C232,'Big Board (by rank)'!A:A))</f>
        <v>376</v>
      </c>
      <c r="G232" s="18" t="str">
        <f>IFERROR(VLOOKUP(C232,'Big Board (by rank)'!D:J,7,FALSE),"")</f>
        <v>Atlanta Falcons</v>
      </c>
    </row>
    <row r="233">
      <c r="A233" s="16">
        <v>7.0</v>
      </c>
      <c r="B233" s="16">
        <v>232.0</v>
      </c>
      <c r="C233" s="17" t="str">
        <f>IFERROR(VLOOKUP(B233,'Big Board (by pick)'!A:E,5,FALSE),"")</f>
        <v>Tim Keenan III</v>
      </c>
      <c r="D233" s="17" t="str">
        <f>IFERROR(VLOOKUP(C233,'Big Board (by rank)'!D:F,3,FALSE),"")</f>
        <v>DL1T</v>
      </c>
      <c r="E233" s="17" t="str">
        <f>IFERROR(VLOOKUP(C233,'Big Board (by rank)'!D:J,2,FALSE),"")</f>
        <v>Alabama</v>
      </c>
      <c r="F233" s="16">
        <f>IF(SUMIF('Big Board (by rank)'!D:D,C233,'Big Board (by rank)'!A:A)=0,"",SUMIF('Big Board (by rank)'!D:D,C233,'Big Board (by rank)'!A:A))</f>
        <v>165</v>
      </c>
      <c r="G233" s="18" t="str">
        <f>IFERROR(VLOOKUP(C233,'Big Board (by rank)'!D:J,7,FALSE),"")</f>
        <v>Los Angeles Rams</v>
      </c>
    </row>
    <row r="234">
      <c r="A234" s="16">
        <v>7.0</v>
      </c>
      <c r="B234" s="16">
        <v>233.0</v>
      </c>
      <c r="C234" s="17" t="str">
        <f>IFERROR(VLOOKUP(B234,'Big Board (by pick)'!A:E,5,FALSE),"")</f>
        <v>Zach Durfee</v>
      </c>
      <c r="D234" s="17" t="str">
        <f>IFERROR(VLOOKUP(C234,'Big Board (by rank)'!D:F,3,FALSE),"")</f>
        <v>EDGE</v>
      </c>
      <c r="E234" s="17" t="str">
        <f>IFERROR(VLOOKUP(C234,'Big Board (by rank)'!D:J,2,FALSE),"")</f>
        <v>Washington</v>
      </c>
      <c r="F234" s="16">
        <f>IF(SUMIF('Big Board (by rank)'!D:D,C234,'Big Board (by rank)'!A:A)=0,"",SUMIF('Big Board (by rank)'!D:D,C234,'Big Board (by rank)'!A:A))</f>
        <v>412</v>
      </c>
      <c r="G234" s="18" t="str">
        <f>IFERROR(VLOOKUP(C234,'Big Board (by rank)'!D:J,7,FALSE),"")</f>
        <v>Jacksonville Jaguars</v>
      </c>
    </row>
    <row r="235">
      <c r="A235" s="16">
        <v>7.0</v>
      </c>
      <c r="B235" s="16">
        <v>234.0</v>
      </c>
      <c r="C235" s="17" t="str">
        <f>IFERROR(VLOOKUP(B235,'Big Board (by pick)'!A:E,5,FALSE),"")</f>
        <v>Behren Morton</v>
      </c>
      <c r="D235" s="17" t="str">
        <f>IFERROR(VLOOKUP(C235,'Big Board (by rank)'!D:F,3,FALSE),"")</f>
        <v>QB</v>
      </c>
      <c r="E235" s="17" t="str">
        <f>IFERROR(VLOOKUP(C235,'Big Board (by rank)'!D:J,2,FALSE),"")</f>
        <v>Texas Tech</v>
      </c>
      <c r="F235" s="16">
        <f>IF(SUMIF('Big Board (by rank)'!D:D,C235,'Big Board (by rank)'!A:A)=0,"",SUMIF('Big Board (by rank)'!D:D,C235,'Big Board (by rank)'!A:A))</f>
        <v>293</v>
      </c>
      <c r="G235" s="18" t="str">
        <f>IFERROR(VLOOKUP(C235,'Big Board (by rank)'!D:J,7,FALSE),"")</f>
        <v>New England Patriots</v>
      </c>
    </row>
    <row r="236">
      <c r="A236" s="16">
        <v>7.0</v>
      </c>
      <c r="B236" s="16">
        <v>235.0</v>
      </c>
      <c r="C236" s="17" t="str">
        <f>IFERROR(VLOOKUP(B236,'Big Board (by pick)'!A:E,5,FALSE),"")</f>
        <v>Gavin Gerhardt</v>
      </c>
      <c r="D236" s="17" t="str">
        <f>IFERROR(VLOOKUP(C236,'Big Board (by rank)'!D:F,3,FALSE),"")</f>
        <v>OC</v>
      </c>
      <c r="E236" s="17" t="str">
        <f>IFERROR(VLOOKUP(C236,'Big Board (by rank)'!D:J,2,FALSE),"")</f>
        <v>Cincinnati</v>
      </c>
      <c r="F236" s="16">
        <f>IF(SUMIF('Big Board (by rank)'!D:D,C236,'Big Board (by rank)'!A:A)=0,"",SUMIF('Big Board (by rank)'!D:D,C236,'Big Board (by rank)'!A:A))</f>
        <v>612</v>
      </c>
      <c r="G236" s="18" t="str">
        <f>IFERROR(VLOOKUP(C236,'Big Board (by rank)'!D:J,7,FALSE),"")</f>
        <v>Minnesota Vikings</v>
      </c>
    </row>
    <row r="237">
      <c r="A237" s="16">
        <v>7.0</v>
      </c>
      <c r="B237" s="16">
        <v>236.0</v>
      </c>
      <c r="C237" s="17" t="str">
        <f>IFERROR(VLOOKUP(B237,'Big Board (by pick)'!A:E,5,FALSE),"")</f>
        <v>Andre Fuller</v>
      </c>
      <c r="D237" s="17" t="str">
        <f>IFERROR(VLOOKUP(C237,'Big Board (by rank)'!D:F,3,FALSE),"")</f>
        <v>CB</v>
      </c>
      <c r="E237" s="17" t="str">
        <f>IFERROR(VLOOKUP(C237,'Big Board (by rank)'!D:J,2,FALSE),"")</f>
        <v>Toledo</v>
      </c>
      <c r="F237" s="16">
        <f>IF(SUMIF('Big Board (by rank)'!D:D,C237,'Big Board (by rank)'!A:A)=0,"",SUMIF('Big Board (by rank)'!D:D,C237,'Big Board (by rank)'!A:A))</f>
        <v>260</v>
      </c>
      <c r="G237" s="18" t="str">
        <f>IFERROR(VLOOKUP(C237,'Big Board (by rank)'!D:J,7,FALSE),"")</f>
        <v>Seattle Seahawks</v>
      </c>
    </row>
    <row r="238">
      <c r="A238" s="16">
        <v>7.0</v>
      </c>
      <c r="B238" s="16">
        <v>237.0</v>
      </c>
      <c r="C238" s="17" t="str">
        <f>IFERROR(VLOOKUP(B238,'Big Board (by pick)'!A:E,5,FALSE),"")</f>
        <v>Seth McGowan</v>
      </c>
      <c r="D238" s="17" t="str">
        <f>IFERROR(VLOOKUP(C238,'Big Board (by rank)'!D:F,3,FALSE),"")</f>
        <v>RB</v>
      </c>
      <c r="E238" s="17" t="str">
        <f>IFERROR(VLOOKUP(C238,'Big Board (by rank)'!D:J,2,FALSE),"")</f>
        <v>Kentucky</v>
      </c>
      <c r="F238" s="16">
        <f>IF(SUMIF('Big Board (by rank)'!D:D,C238,'Big Board (by rank)'!A:A)=0,"",SUMIF('Big Board (by rank)'!D:D,C238,'Big Board (by rank)'!A:A))</f>
        <v>182</v>
      </c>
      <c r="G238" s="18" t="str">
        <f>IFERROR(VLOOKUP(C238,'Big Board (by rank)'!D:J,7,FALSE),"")</f>
        <v>Indianapolis Colts</v>
      </c>
    </row>
    <row r="239">
      <c r="A239" s="16">
        <v>7.0</v>
      </c>
      <c r="B239" s="16">
        <v>238.0</v>
      </c>
      <c r="C239" s="17" t="str">
        <f>IFERROR(VLOOKUP(B239,'Big Board (by pick)'!A:E,5,FALSE),"")</f>
        <v>Max Llewellyn</v>
      </c>
      <c r="D239" s="17" t="str">
        <f>IFERROR(VLOOKUP(C239,'Big Board (by rank)'!D:F,3,FALSE),"")</f>
        <v>EDGE</v>
      </c>
      <c r="E239" s="17" t="str">
        <f>IFERROR(VLOOKUP(C239,'Big Board (by rank)'!D:J,2,FALSE),"")</f>
        <v>Iowa</v>
      </c>
      <c r="F239" s="16">
        <f>IF(SUMIF('Big Board (by rank)'!D:D,C239,'Big Board (by rank)'!A:A)=0,"",SUMIF('Big Board (by rank)'!D:D,C239,'Big Board (by rank)'!A:A))</f>
        <v>135</v>
      </c>
      <c r="G239" s="18" t="str">
        <f>IFERROR(VLOOKUP(C239,'Big Board (by rank)'!D:J,7,FALSE),"")</f>
        <v>Miami Dolphins</v>
      </c>
    </row>
    <row r="240">
      <c r="A240" s="16">
        <v>7.0</v>
      </c>
      <c r="B240" s="16">
        <v>239.0</v>
      </c>
      <c r="C240" s="17" t="str">
        <f>IFERROR(VLOOKUP(B240,'Big Board (by pick)'!A:E,5,FALSE),"")</f>
        <v>Tommy Doman</v>
      </c>
      <c r="D240" s="17" t="str">
        <f>IFERROR(VLOOKUP(C240,'Big Board (by rank)'!D:F,3,FALSE),"")</f>
        <v>P</v>
      </c>
      <c r="E240" s="17" t="str">
        <f>IFERROR(VLOOKUP(C240,'Big Board (by rank)'!D:J,2,FALSE),"")</f>
        <v>Florida</v>
      </c>
      <c r="F240" s="16">
        <f>IF(SUMIF('Big Board (by rank)'!D:D,C240,'Big Board (by rank)'!A:A)=0,"",SUMIF('Big Board (by rank)'!D:D,C240,'Big Board (by rank)'!A:A))</f>
        <v>401</v>
      </c>
      <c r="G240" s="18" t="str">
        <f>IFERROR(VLOOKUP(C240,'Big Board (by rank)'!D:J,7,FALSE),"")</f>
        <v>Buffalo Bills</v>
      </c>
    </row>
    <row r="241">
      <c r="A241" s="16">
        <v>7.0</v>
      </c>
      <c r="B241" s="16">
        <v>240.0</v>
      </c>
      <c r="C241" s="17" t="str">
        <f>IFERROR(VLOOKUP(B241,'Big Board (by pick)'!A:E,5,FALSE),"")</f>
        <v>Parker Hughes</v>
      </c>
      <c r="D241" s="17" t="str">
        <f>IFERROR(VLOOKUP(C241,'Big Board (by rank)'!D:F,3,FALSE),"")</f>
        <v>LB</v>
      </c>
      <c r="E241" s="17" t="str">
        <f>IFERROR(VLOOKUP(C241,'Big Board (by rank)'!D:J,2,FALSE),"")</f>
        <v>Middle Tennessee State</v>
      </c>
      <c r="F241" s="16">
        <f>IF(SUMIF('Big Board (by rank)'!D:D,C241,'Big Board (by rank)'!A:A)=0,"",SUMIF('Big Board (by rank)'!D:D,C241,'Big Board (by rank)'!A:A))</f>
        <v>679</v>
      </c>
      <c r="G241" s="18" t="str">
        <f>IFERROR(VLOOKUP(C241,'Big Board (by rank)'!D:J,7,FALSE),"")</f>
        <v>Jacksonville Jaguars</v>
      </c>
    </row>
    <row r="242">
      <c r="A242" s="16">
        <v>7.0</v>
      </c>
      <c r="B242" s="16">
        <v>241.0</v>
      </c>
      <c r="C242" s="17" t="str">
        <f>IFERROR(VLOOKUP(B242,'Big Board (by pick)'!A:E,5,FALSE),"")</f>
        <v>Ar'Maj Reed-Adams</v>
      </c>
      <c r="D242" s="17" t="str">
        <f>IFERROR(VLOOKUP(C242,'Big Board (by rank)'!D:F,3,FALSE),"")</f>
        <v>OG</v>
      </c>
      <c r="E242" s="17" t="str">
        <f>IFERROR(VLOOKUP(C242,'Big Board (by rank)'!D:J,2,FALSE),"")</f>
        <v>Texas A&amp;M</v>
      </c>
      <c r="F242" s="16">
        <f>IF(SUMIF('Big Board (by rank)'!D:D,C242,'Big Board (by rank)'!A:A)=0,"",SUMIF('Big Board (by rank)'!D:D,C242,'Big Board (by rank)'!A:A))</f>
        <v>193</v>
      </c>
      <c r="G242" s="18" t="str">
        <f>IFERROR(VLOOKUP(C242,'Big Board (by rank)'!D:J,7,FALSE),"")</f>
        <v>Buffalo Bills</v>
      </c>
    </row>
    <row r="243">
      <c r="A243" s="16">
        <v>7.0</v>
      </c>
      <c r="B243" s="16">
        <v>242.0</v>
      </c>
      <c r="C243" s="17" t="str">
        <f>IFERROR(VLOOKUP(B243,'Big Board (by pick)'!A:E,5,FALSE),"")</f>
        <v>Deven Eastern</v>
      </c>
      <c r="D243" s="17" t="str">
        <f>IFERROR(VLOOKUP(C243,'Big Board (by rank)'!D:F,3,FALSE),"")</f>
        <v>DL1T</v>
      </c>
      <c r="E243" s="17" t="str">
        <f>IFERROR(VLOOKUP(C243,'Big Board (by rank)'!D:J,2,FALSE),"")</f>
        <v>Minnesota</v>
      </c>
      <c r="F243" s="16">
        <f>IF(SUMIF('Big Board (by rank)'!D:D,C243,'Big Board (by rank)'!A:A)=0,"",SUMIF('Big Board (by rank)'!D:D,C243,'Big Board (by rank)'!A:A))</f>
        <v>266</v>
      </c>
      <c r="G243" s="18" t="str">
        <f>IFERROR(VLOOKUP(C243,'Big Board (by rank)'!D:J,7,FALSE),"")</f>
        <v>Seattle Seahawks</v>
      </c>
    </row>
    <row r="244">
      <c r="A244" s="16">
        <v>7.0</v>
      </c>
      <c r="B244" s="16">
        <v>243.0</v>
      </c>
      <c r="C244" s="17" t="str">
        <f>IFERROR(VLOOKUP(B244,'Big Board (by pick)'!A:E,5,FALSE),"")</f>
        <v>Aiden Fisher</v>
      </c>
      <c r="D244" s="17" t="str">
        <f>IFERROR(VLOOKUP(C244,'Big Board (by rank)'!D:F,3,FALSE),"")</f>
        <v>LB</v>
      </c>
      <c r="E244" s="17" t="str">
        <f>IFERROR(VLOOKUP(C244,'Big Board (by rank)'!D:J,2,FALSE),"")</f>
        <v>Indiana</v>
      </c>
      <c r="F244" s="16">
        <f>IF(SUMIF('Big Board (by rank)'!D:D,C244,'Big Board (by rank)'!A:A)=0,"",SUMIF('Big Board (by rank)'!D:D,C244,'Big Board (by rank)'!A:A))</f>
        <v>149</v>
      </c>
      <c r="G244" s="18" t="str">
        <f>IFERROR(VLOOKUP(C244,'Big Board (by rank)'!D:J,7,FALSE),"")</f>
        <v>Houston Texans</v>
      </c>
    </row>
    <row r="245">
      <c r="A245" s="16">
        <v>7.0</v>
      </c>
      <c r="B245" s="16">
        <v>244.0</v>
      </c>
      <c r="C245" s="17" t="str">
        <f>IFERROR(VLOOKUP(B245,'Big Board (by pick)'!A:E,5,FALSE),"")</f>
        <v>Cole Wisniewski</v>
      </c>
      <c r="D245" s="17" t="str">
        <f>IFERROR(VLOOKUP(C245,'Big Board (by rank)'!D:F,3,FALSE),"")</f>
        <v>S</v>
      </c>
      <c r="E245" s="17" t="str">
        <f>IFERROR(VLOOKUP(C245,'Big Board (by rank)'!D:J,2,FALSE),"")</f>
        <v>Texas Tech</v>
      </c>
      <c r="F245" s="16">
        <f>IF(SUMIF('Big Board (by rank)'!D:D,C245,'Big Board (by rank)'!A:A)=0,"",SUMIF('Big Board (by rank)'!D:D,C245,'Big Board (by rank)'!A:A))</f>
        <v>228</v>
      </c>
      <c r="G245" s="18" t="str">
        <f>IFERROR(VLOOKUP(C245,'Big Board (by rank)'!D:J,7,FALSE),"")</f>
        <v>Philadelphia Eagles</v>
      </c>
    </row>
    <row r="246">
      <c r="A246" s="16">
        <v>7.0</v>
      </c>
      <c r="B246" s="16">
        <v>245.0</v>
      </c>
      <c r="C246" s="17" t="str">
        <f>IFERROR(VLOOKUP(B246,'Big Board (by pick)'!A:E,5,FALSE),"")</f>
        <v>Jam Miller</v>
      </c>
      <c r="D246" s="17" t="str">
        <f>IFERROR(VLOOKUP(C246,'Big Board (by rank)'!D:F,3,FALSE),"")</f>
        <v>RB</v>
      </c>
      <c r="E246" s="17" t="str">
        <f>IFERROR(VLOOKUP(C246,'Big Board (by rank)'!D:J,2,FALSE),"")</f>
        <v>Alabama</v>
      </c>
      <c r="F246" s="16">
        <f>IF(SUMIF('Big Board (by rank)'!D:D,C246,'Big Board (by rank)'!A:A)=0,"",SUMIF('Big Board (by rank)'!D:D,C246,'Big Board (by rank)'!A:A))</f>
        <v>248</v>
      </c>
      <c r="G246" s="18" t="str">
        <f>IFERROR(VLOOKUP(C246,'Big Board (by rank)'!D:J,7,FALSE),"")</f>
        <v>New England Patriots</v>
      </c>
    </row>
    <row r="247">
      <c r="A247" s="16">
        <v>7.0</v>
      </c>
      <c r="B247" s="16">
        <v>246.0</v>
      </c>
      <c r="C247" s="17" t="str">
        <f>IFERROR(VLOOKUP(B247,'Big Board (by pick)'!A:E,5,FALSE),"")</f>
        <v>Miles Scott</v>
      </c>
      <c r="D247" s="17" t="str">
        <f>IFERROR(VLOOKUP(C247,'Big Board (by rank)'!D:F,3,FALSE),"")</f>
        <v>S</v>
      </c>
      <c r="E247" s="17" t="str">
        <f>IFERROR(VLOOKUP(C247,'Big Board (by rank)'!D:J,2,FALSE),"")</f>
        <v>Illinois</v>
      </c>
      <c r="F247" s="16">
        <f>IF(SUMIF('Big Board (by rank)'!D:D,C247,'Big Board (by rank)'!A:A)=0,"",SUMIF('Big Board (by rank)'!D:D,C247,'Big Board (by rank)'!A:A))</f>
        <v>361</v>
      </c>
      <c r="G247" s="18" t="str">
        <f>IFERROR(VLOOKUP(C247,'Big Board (by rank)'!D:J,7,FALSE),"")</f>
        <v>Denver Broncos</v>
      </c>
    </row>
    <row r="248">
      <c r="A248" s="16">
        <v>7.0</v>
      </c>
      <c r="B248" s="16">
        <v>247.0</v>
      </c>
      <c r="C248" s="17" t="str">
        <f>IFERROR(VLOOKUP(B248,'Big Board (by pick)'!A:E,5,FALSE),"")</f>
        <v>Quintayvious Hutchins</v>
      </c>
      <c r="D248" s="17" t="str">
        <f>IFERROR(VLOOKUP(C248,'Big Board (by rank)'!D:F,3,FALSE),"")</f>
        <v>EDGE</v>
      </c>
      <c r="E248" s="17" t="str">
        <f>IFERROR(VLOOKUP(C248,'Big Board (by rank)'!D:J,2,FALSE),"")</f>
        <v>Boston College</v>
      </c>
      <c r="F248" s="16">
        <f>IF(SUMIF('Big Board (by rank)'!D:D,C248,'Big Board (by rank)'!A:A)=0,"",SUMIF('Big Board (by rank)'!D:D,C248,'Big Board (by rank)'!A:A))</f>
        <v>250</v>
      </c>
      <c r="G248" s="18" t="str">
        <f>IFERROR(VLOOKUP(C248,'Big Board (by rank)'!D:J,7,FALSE),"")</f>
        <v>New England Patriots</v>
      </c>
    </row>
    <row r="249">
      <c r="A249" s="16">
        <v>7.0</v>
      </c>
      <c r="B249" s="16">
        <v>248.0</v>
      </c>
      <c r="C249" s="17" t="str">
        <f>IFERROR(VLOOKUP(B249,'Big Board (by pick)'!A:E,5,FALSE),"")</f>
        <v>Carsen Ryan</v>
      </c>
      <c r="D249" s="17" t="str">
        <f>IFERROR(VLOOKUP(C249,'Big Board (by rank)'!D:F,3,FALSE),"")</f>
        <v>TE</v>
      </c>
      <c r="E249" s="17" t="str">
        <f>IFERROR(VLOOKUP(C249,'Big Board (by rank)'!D:J,2,FALSE),"")</f>
        <v>BYU</v>
      </c>
      <c r="F249" s="16">
        <f>IF(SUMIF('Big Board (by rank)'!D:D,C249,'Big Board (by rank)'!A:A)=0,"",SUMIF('Big Board (by rank)'!D:D,C249,'Big Board (by rank)'!A:A))</f>
        <v>283</v>
      </c>
      <c r="G249" s="18" t="str">
        <f>IFERROR(VLOOKUP(C249,'Big Board (by rank)'!D:J,7,FALSE),"")</f>
        <v>Cleveland Browns</v>
      </c>
    </row>
    <row r="250">
      <c r="A250" s="16">
        <v>7.0</v>
      </c>
      <c r="B250" s="16">
        <v>249.0</v>
      </c>
      <c r="C250" s="17" t="str">
        <f>IFERROR(VLOOKUP(B250,'Big Board (by pick)'!A:E,5,FALSE),"")</f>
        <v>Garrett Nussmeier</v>
      </c>
      <c r="D250" s="17" t="str">
        <f>IFERROR(VLOOKUP(C250,'Big Board (by rank)'!D:F,3,FALSE),"")</f>
        <v>QB</v>
      </c>
      <c r="E250" s="17" t="str">
        <f>IFERROR(VLOOKUP(C250,'Big Board (by rank)'!D:J,2,FALSE),"")</f>
        <v>LSU</v>
      </c>
      <c r="F250" s="16">
        <f>IF(SUMIF('Big Board (by rank)'!D:D,C250,'Big Board (by rank)'!A:A)=0,"",SUMIF('Big Board (by rank)'!D:D,C250,'Big Board (by rank)'!A:A))</f>
        <v>82</v>
      </c>
      <c r="G250" s="18" t="str">
        <f>IFERROR(VLOOKUP(C250,'Big Board (by rank)'!D:J,7,FALSE),"")</f>
        <v>Kansas City Chiefs</v>
      </c>
    </row>
    <row r="251">
      <c r="A251" s="16">
        <v>7.0</v>
      </c>
      <c r="B251" s="16">
        <v>250.0</v>
      </c>
      <c r="C251" s="17" t="str">
        <f>IFERROR(VLOOKUP(B251,'Big Board (by pick)'!A:E,5,FALSE),"")</f>
        <v>Rayshaun Benny</v>
      </c>
      <c r="D251" s="17" t="str">
        <f>IFERROR(VLOOKUP(C251,'Big Board (by rank)'!D:F,3,FALSE),"")</f>
        <v>DL3T</v>
      </c>
      <c r="E251" s="17" t="str">
        <f>IFERROR(VLOOKUP(C251,'Big Board (by rank)'!D:J,2,FALSE),"")</f>
        <v>Michigan</v>
      </c>
      <c r="F251" s="16">
        <f>IF(SUMIF('Big Board (by rank)'!D:D,C251,'Big Board (by rank)'!A:A)=0,"",SUMIF('Big Board (by rank)'!D:D,C251,'Big Board (by rank)'!A:A))</f>
        <v>137</v>
      </c>
      <c r="G251" s="18" t="str">
        <f>IFERROR(VLOOKUP(C251,'Big Board (by rank)'!D:J,7,FALSE),"")</f>
        <v>Baltimore Ravens</v>
      </c>
    </row>
    <row r="252">
      <c r="A252" s="16">
        <v>7.0</v>
      </c>
      <c r="B252" s="16">
        <v>251.0</v>
      </c>
      <c r="C252" s="17" t="str">
        <f>IFERROR(VLOOKUP(B252,'Big Board (by pick)'!A:E,5,FALSE),"")</f>
        <v>Uar Bernard</v>
      </c>
      <c r="D252" s="17" t="str">
        <f>IFERROR(VLOOKUP(C252,'Big Board (by rank)'!D:F,3,FALSE),"")</f>
        <v>DL3T</v>
      </c>
      <c r="E252" s="17" t="str">
        <f>IFERROR(VLOOKUP(C252,'Big Board (by rank)'!D:J,2,FALSE),"")</f>
        <v>Nigeria (IPP)</v>
      </c>
      <c r="F252" s="16">
        <f>IF(SUMIF('Big Board (by rank)'!D:D,C252,'Big Board (by rank)'!A:A)=0,"",SUMIF('Big Board (by rank)'!D:D,C252,'Big Board (by rank)'!A:A))</f>
        <v>358</v>
      </c>
      <c r="G252" s="18" t="str">
        <f>IFERROR(VLOOKUP(C252,'Big Board (by rank)'!D:J,7,FALSE),"")</f>
        <v>Philadelphia Eagles</v>
      </c>
    </row>
    <row r="253">
      <c r="A253" s="16">
        <v>7.0</v>
      </c>
      <c r="B253" s="16">
        <v>252.0</v>
      </c>
      <c r="C253" s="17" t="str">
        <f>IFERROR(VLOOKUP(B253,'Big Board (by pick)'!A:E,5,FALSE),"")</f>
        <v>Keyshawn James-Newby</v>
      </c>
      <c r="D253" s="17" t="str">
        <f>IFERROR(VLOOKUP(C253,'Big Board (by rank)'!D:F,3,FALSE),"")</f>
        <v>EDGE</v>
      </c>
      <c r="E253" s="17" t="str">
        <f>IFERROR(VLOOKUP(C253,'Big Board (by rank)'!D:J,2,FALSE),"")</f>
        <v>New Mexico</v>
      </c>
      <c r="F253" s="16">
        <f>IF(SUMIF('Big Board (by rank)'!D:D,C253,'Big Board (by rank)'!A:A)=0,"",SUMIF('Big Board (by rank)'!D:D,C253,'Big Board (by rank)'!A:A))</f>
        <v>303</v>
      </c>
      <c r="G253" s="18" t="str">
        <f>IFERROR(VLOOKUP(C253,'Big Board (by rank)'!D:J,7,FALSE),"")</f>
        <v>Philadelphia Eagles</v>
      </c>
    </row>
    <row r="254">
      <c r="A254" s="16">
        <v>7.0</v>
      </c>
      <c r="B254" s="16">
        <v>253.0</v>
      </c>
      <c r="C254" s="17" t="str">
        <f>IFERROR(VLOOKUP(B254,'Big Board (by pick)'!A:E,5,FALSE),"")</f>
        <v>Evan Beerntsen</v>
      </c>
      <c r="D254" s="17" t="str">
        <f>IFERROR(VLOOKUP(C254,'Big Board (by rank)'!D:F,3,FALSE),"")</f>
        <v>OG</v>
      </c>
      <c r="E254" s="17" t="str">
        <f>IFERROR(VLOOKUP(C254,'Big Board (by rank)'!D:J,2,FALSE),"")</f>
        <v>Northwestern</v>
      </c>
      <c r="F254" s="16">
        <f>IF(SUMIF('Big Board (by rank)'!D:D,C254,'Big Board (by rank)'!A:A)=0,"",SUMIF('Big Board (by rank)'!D:D,C254,'Big Board (by rank)'!A:A))</f>
        <v>315</v>
      </c>
      <c r="G254" s="18" t="str">
        <f>IFERROR(VLOOKUP(C254,'Big Board (by rank)'!D:J,7,FALSE),"")</f>
        <v>Baltimore Ravens</v>
      </c>
    </row>
    <row r="255">
      <c r="A255" s="16">
        <v>7.0</v>
      </c>
      <c r="B255" s="16">
        <v>254.0</v>
      </c>
      <c r="C255" s="17" t="str">
        <f>IFERROR(VLOOKUP(B255,'Big Board (by pick)'!A:E,5,FALSE),"")</f>
        <v>Deion Burks</v>
      </c>
      <c r="D255" s="17" t="str">
        <f>IFERROR(VLOOKUP(C255,'Big Board (by rank)'!D:F,3,FALSE),"")</f>
        <v>WR</v>
      </c>
      <c r="E255" s="17" t="str">
        <f>IFERROR(VLOOKUP(C255,'Big Board (by rank)'!D:J,2,FALSE),"")</f>
        <v>Oklahoma</v>
      </c>
      <c r="F255" s="16">
        <f>IF(SUMIF('Big Board (by rank)'!D:D,C255,'Big Board (by rank)'!A:A)=0,"",SUMIF('Big Board (by rank)'!D:D,C255,'Big Board (by rank)'!A:A))</f>
        <v>96</v>
      </c>
      <c r="G255" s="18" t="str">
        <f>IFERROR(VLOOKUP(C255,'Big Board (by rank)'!D:J,7,FALSE),"")</f>
        <v>Indianapolis Colts</v>
      </c>
    </row>
    <row r="256">
      <c r="A256" s="16">
        <v>7.0</v>
      </c>
      <c r="B256" s="16">
        <v>255.0</v>
      </c>
      <c r="C256" s="17" t="str">
        <f>IFERROR(VLOOKUP(B256,'Big Board (by pick)'!A:E,5,FALSE),"")</f>
        <v>Michael Dansby</v>
      </c>
      <c r="D256" s="17" t="str">
        <f>IFERROR(VLOOKUP(C256,'Big Board (by rank)'!D:F,3,FALSE),"")</f>
        <v>CB</v>
      </c>
      <c r="E256" s="17" t="str">
        <f>IFERROR(VLOOKUP(C256,'Big Board (by rank)'!D:J,2,FALSE),"")</f>
        <v>Arizona</v>
      </c>
      <c r="F256" s="16">
        <f>IF(SUMIF('Big Board (by rank)'!D:D,C256,'Big Board (by rank)'!A:A)=0,"",SUMIF('Big Board (by rank)'!D:D,C256,'Big Board (by rank)'!A:A))</f>
        <v>733</v>
      </c>
      <c r="G256" s="18" t="str">
        <f>IFERROR(VLOOKUP(C256,'Big Board (by rank)'!D:J,7,FALSE),"")</f>
        <v>Seattle Seahawks</v>
      </c>
    </row>
    <row r="257">
      <c r="A257" s="16">
        <v>7.0</v>
      </c>
      <c r="B257" s="16">
        <v>256.0</v>
      </c>
      <c r="C257" s="17" t="str">
        <f>IFERROR(VLOOKUP(B257,'Big Board (by pick)'!A:E,5,FALSE),"")</f>
        <v>Dallen Bentley</v>
      </c>
      <c r="D257" s="17" t="str">
        <f>IFERROR(VLOOKUP(C257,'Big Board (by rank)'!D:F,3,FALSE),"")</f>
        <v>TE</v>
      </c>
      <c r="E257" s="17" t="str">
        <f>IFERROR(VLOOKUP(C257,'Big Board (by rank)'!D:J,2,FALSE),"")</f>
        <v>Utah</v>
      </c>
      <c r="F257" s="16">
        <f>IF(SUMIF('Big Board (by rank)'!D:D,C257,'Big Board (by rank)'!A:A)=0,"",SUMIF('Big Board (by rank)'!D:D,C257,'Big Board (by rank)'!A:A))</f>
        <v>173</v>
      </c>
      <c r="G257" s="18" t="str">
        <f>IFERROR(VLOOKUP(C257,'Big Board (by rank)'!D:J,7,FALSE),"")</f>
        <v>Denver Broncos</v>
      </c>
    </row>
    <row r="258">
      <c r="A258" s="16">
        <v>7.0</v>
      </c>
      <c r="B258" s="16">
        <v>257.0</v>
      </c>
      <c r="C258" s="17" t="str">
        <f>IFERROR(VLOOKUP(B258,'Big Board (by pick)'!A:E,5,FALSE),"")</f>
        <v>Red Murdock</v>
      </c>
      <c r="D258" s="17" t="str">
        <f>IFERROR(VLOOKUP(C258,'Big Board (by rank)'!D:F,3,FALSE),"")</f>
        <v>LB</v>
      </c>
      <c r="E258" s="17" t="str">
        <f>IFERROR(VLOOKUP(C258,'Big Board (by rank)'!D:J,2,FALSE),"")</f>
        <v>Buffalo</v>
      </c>
      <c r="F258" s="16">
        <f>IF(SUMIF('Big Board (by rank)'!D:D,C258,'Big Board (by rank)'!A:A)=0,"",SUMIF('Big Board (by rank)'!D:D,C258,'Big Board (by rank)'!A:A))</f>
        <v>197</v>
      </c>
      <c r="G258" s="18" t="str">
        <f>IFERROR(VLOOKUP(C258,'Big Board (by rank)'!D:J,7,FALSE),"")</f>
        <v>Denver Broncos</v>
      </c>
    </row>
  </sheetData>
  <conditionalFormatting sqref="C2:C258">
    <cfRule type="expression" dxfId="0" priority="1">
      <formula>COUNTIF($C$2:$C$258,C2)&gt;1</formula>
    </cfRule>
  </conditionalFormatting>
  <dataValidations>
    <dataValidation type="list" allowBlank="1" showErrorMessage="1" sqref="C2:C258">
      <formula1>'Bigger Board'!$D$1:$D$844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9" t="s">
        <v>24</v>
      </c>
      <c r="B1" s="19">
        <v>1.0</v>
      </c>
    </row>
    <row r="2">
      <c r="A2" s="19" t="s">
        <v>76</v>
      </c>
      <c r="B2" s="19">
        <v>2.0</v>
      </c>
    </row>
    <row r="3">
      <c r="A3" s="19" t="s">
        <v>55</v>
      </c>
      <c r="B3" s="19">
        <v>3.0</v>
      </c>
    </row>
    <row r="4">
      <c r="A4" s="19" t="s">
        <v>94</v>
      </c>
      <c r="B4" s="19">
        <v>4.0</v>
      </c>
    </row>
    <row r="5">
      <c r="A5" s="19" t="s">
        <v>68</v>
      </c>
      <c r="B5" s="19">
        <v>5.0</v>
      </c>
    </row>
    <row r="6">
      <c r="A6" s="19" t="s">
        <v>65</v>
      </c>
      <c r="B6" s="19">
        <v>6.0</v>
      </c>
    </row>
    <row r="7">
      <c r="A7" s="19" t="s">
        <v>105</v>
      </c>
      <c r="B7" s="19">
        <v>7.0</v>
      </c>
    </row>
    <row r="8">
      <c r="A8" s="19" t="s">
        <v>48</v>
      </c>
      <c r="B8" s="19">
        <v>8.0</v>
      </c>
    </row>
    <row r="9">
      <c r="A9" s="19" t="s">
        <v>27</v>
      </c>
      <c r="B9" s="19">
        <v>9.0</v>
      </c>
    </row>
    <row r="10">
      <c r="A10" s="19" t="s">
        <v>195</v>
      </c>
      <c r="B10" s="19">
        <v>10.0</v>
      </c>
    </row>
    <row r="11">
      <c r="A11" s="19" t="s">
        <v>96</v>
      </c>
      <c r="B11" s="19">
        <v>11.0</v>
      </c>
    </row>
    <row r="12">
      <c r="A12" s="19" t="s">
        <v>120</v>
      </c>
      <c r="B12" s="19">
        <v>12.0</v>
      </c>
    </row>
    <row r="13">
      <c r="A13" s="19" t="s">
        <v>92</v>
      </c>
      <c r="B13" s="19">
        <v>13.0</v>
      </c>
    </row>
    <row r="14">
      <c r="A14" s="19" t="s">
        <v>103</v>
      </c>
      <c r="B14" s="19">
        <v>14.0</v>
      </c>
    </row>
    <row r="15">
      <c r="A15" s="19" t="s">
        <v>115</v>
      </c>
      <c r="B15" s="19">
        <v>15.0</v>
      </c>
    </row>
    <row r="16">
      <c r="A16" s="19" t="s">
        <v>45</v>
      </c>
      <c r="B16" s="19">
        <v>16.0</v>
      </c>
    </row>
    <row r="17">
      <c r="A17" s="19" t="s">
        <v>16</v>
      </c>
      <c r="B17" s="19">
        <v>17.0</v>
      </c>
    </row>
    <row r="18">
      <c r="A18" s="19" t="s">
        <v>78</v>
      </c>
      <c r="B18" s="19">
        <v>18.0</v>
      </c>
    </row>
    <row r="19">
      <c r="A19" s="19" t="s">
        <v>110</v>
      </c>
      <c r="B19" s="19">
        <v>19.0</v>
      </c>
    </row>
    <row r="20">
      <c r="A20" s="19" t="s">
        <v>71</v>
      </c>
      <c r="B20" s="19">
        <v>20.0</v>
      </c>
    </row>
    <row r="21">
      <c r="A21" s="19" t="s">
        <v>108</v>
      </c>
      <c r="B21" s="19">
        <v>21.0</v>
      </c>
    </row>
    <row r="22">
      <c r="A22" s="19" t="s">
        <v>89</v>
      </c>
      <c r="B22" s="19">
        <v>22.0</v>
      </c>
    </row>
    <row r="23">
      <c r="A23" s="19" t="s">
        <v>60</v>
      </c>
      <c r="B23" s="19">
        <v>23.0</v>
      </c>
    </row>
    <row r="24">
      <c r="A24" s="19" t="s">
        <v>20</v>
      </c>
      <c r="B24" s="19">
        <v>24.0</v>
      </c>
    </row>
    <row r="25">
      <c r="A25" s="19" t="s">
        <v>36</v>
      </c>
      <c r="B25" s="19">
        <v>25.0</v>
      </c>
    </row>
    <row r="26">
      <c r="A26" s="19" t="s">
        <v>51</v>
      </c>
      <c r="B26" s="19">
        <v>26.0</v>
      </c>
    </row>
    <row r="27">
      <c r="A27" s="19" t="s">
        <v>99</v>
      </c>
      <c r="B27" s="19">
        <v>27.0</v>
      </c>
    </row>
    <row r="28">
      <c r="A28" s="19" t="s">
        <v>173</v>
      </c>
      <c r="B28" s="19">
        <v>28.0</v>
      </c>
    </row>
    <row r="29">
      <c r="A29" s="19" t="s">
        <v>135</v>
      </c>
      <c r="B29" s="19">
        <v>29.0</v>
      </c>
    </row>
    <row r="30">
      <c r="A30" s="19" t="s">
        <v>33</v>
      </c>
      <c r="B30" s="19">
        <v>30.0</v>
      </c>
    </row>
    <row r="31">
      <c r="A31" s="19" t="s">
        <v>41</v>
      </c>
      <c r="B31" s="19">
        <v>31.0</v>
      </c>
    </row>
    <row r="32">
      <c r="A32" s="19" t="s">
        <v>29</v>
      </c>
      <c r="B32" s="19">
        <v>32.0</v>
      </c>
    </row>
    <row r="33">
      <c r="B33" s="19">
        <v>33.0</v>
      </c>
    </row>
    <row r="34">
      <c r="B34" s="19">
        <v>34.0</v>
      </c>
    </row>
    <row r="35">
      <c r="B35" s="19">
        <v>35.0</v>
      </c>
    </row>
    <row r="36">
      <c r="B36" s="19">
        <v>36.0</v>
      </c>
    </row>
    <row r="37">
      <c r="B37" s="19">
        <v>37.0</v>
      </c>
    </row>
    <row r="38">
      <c r="B38" s="19">
        <v>38.0</v>
      </c>
    </row>
    <row r="39">
      <c r="B39" s="19">
        <v>39.0</v>
      </c>
    </row>
    <row r="40">
      <c r="B40" s="19">
        <v>40.0</v>
      </c>
    </row>
    <row r="41">
      <c r="B41" s="19">
        <v>41.0</v>
      </c>
    </row>
    <row r="42">
      <c r="B42" s="19">
        <v>42.0</v>
      </c>
    </row>
    <row r="43">
      <c r="B43" s="19">
        <v>43.0</v>
      </c>
    </row>
    <row r="44">
      <c r="B44" s="19">
        <v>44.0</v>
      </c>
    </row>
    <row r="45">
      <c r="B45" s="19">
        <v>45.0</v>
      </c>
    </row>
    <row r="46">
      <c r="B46" s="19">
        <v>46.0</v>
      </c>
    </row>
    <row r="47">
      <c r="B47" s="19">
        <v>47.0</v>
      </c>
    </row>
    <row r="48">
      <c r="B48" s="19">
        <v>48.0</v>
      </c>
    </row>
    <row r="49">
      <c r="B49" s="19">
        <v>49.0</v>
      </c>
    </row>
    <row r="50">
      <c r="B50" s="19">
        <v>50.0</v>
      </c>
    </row>
    <row r="51">
      <c r="B51" s="19">
        <v>51.0</v>
      </c>
    </row>
    <row r="52">
      <c r="B52" s="19">
        <v>52.0</v>
      </c>
    </row>
    <row r="53">
      <c r="B53" s="19">
        <v>53.0</v>
      </c>
    </row>
    <row r="54">
      <c r="B54" s="19">
        <v>54.0</v>
      </c>
    </row>
    <row r="55">
      <c r="B55" s="19">
        <v>55.0</v>
      </c>
    </row>
    <row r="56">
      <c r="B56" s="19">
        <v>56.0</v>
      </c>
    </row>
    <row r="57">
      <c r="B57" s="19">
        <v>57.0</v>
      </c>
    </row>
    <row r="58">
      <c r="B58" s="19">
        <v>58.0</v>
      </c>
    </row>
    <row r="59">
      <c r="B59" s="19">
        <v>59.0</v>
      </c>
    </row>
    <row r="60">
      <c r="B60" s="19">
        <v>60.0</v>
      </c>
    </row>
    <row r="61">
      <c r="B61" s="19">
        <v>61.0</v>
      </c>
    </row>
    <row r="62">
      <c r="B62" s="19">
        <v>62.0</v>
      </c>
    </row>
    <row r="63">
      <c r="B63" s="19">
        <v>63.0</v>
      </c>
    </row>
    <row r="64">
      <c r="B64" s="19">
        <v>64.0</v>
      </c>
    </row>
    <row r="65">
      <c r="B65" s="19">
        <v>65.0</v>
      </c>
    </row>
    <row r="66">
      <c r="B66" s="19">
        <v>66.0</v>
      </c>
    </row>
    <row r="67">
      <c r="B67" s="19">
        <v>67.0</v>
      </c>
    </row>
    <row r="68">
      <c r="B68" s="19">
        <v>68.0</v>
      </c>
    </row>
    <row r="69">
      <c r="B69" s="19">
        <v>69.0</v>
      </c>
    </row>
    <row r="70">
      <c r="B70" s="19">
        <v>70.0</v>
      </c>
    </row>
    <row r="71">
      <c r="B71" s="19">
        <v>71.0</v>
      </c>
    </row>
    <row r="72">
      <c r="B72" s="19">
        <v>72.0</v>
      </c>
    </row>
    <row r="73">
      <c r="B73" s="19">
        <v>73.0</v>
      </c>
    </row>
    <row r="74">
      <c r="B74" s="19">
        <v>74.0</v>
      </c>
    </row>
    <row r="75">
      <c r="B75" s="19">
        <v>75.0</v>
      </c>
    </row>
    <row r="76">
      <c r="B76" s="19">
        <v>76.0</v>
      </c>
    </row>
    <row r="77">
      <c r="B77" s="19">
        <v>77.0</v>
      </c>
    </row>
    <row r="78">
      <c r="B78" s="19">
        <v>78.0</v>
      </c>
    </row>
    <row r="79">
      <c r="B79" s="19">
        <v>79.0</v>
      </c>
    </row>
    <row r="80">
      <c r="B80" s="19">
        <v>80.0</v>
      </c>
    </row>
    <row r="81">
      <c r="B81" s="19">
        <v>81.0</v>
      </c>
    </row>
    <row r="82">
      <c r="B82" s="19">
        <v>82.0</v>
      </c>
    </row>
    <row r="83">
      <c r="B83" s="19">
        <v>83.0</v>
      </c>
    </row>
    <row r="84">
      <c r="B84" s="19">
        <v>84.0</v>
      </c>
    </row>
    <row r="85">
      <c r="B85" s="19">
        <v>85.0</v>
      </c>
    </row>
    <row r="86">
      <c r="B86" s="19">
        <v>86.0</v>
      </c>
    </row>
    <row r="87">
      <c r="B87" s="19">
        <v>87.0</v>
      </c>
    </row>
    <row r="88">
      <c r="B88" s="19">
        <v>88.0</v>
      </c>
    </row>
    <row r="89">
      <c r="B89" s="19">
        <v>89.0</v>
      </c>
    </row>
    <row r="90">
      <c r="B90" s="19">
        <v>90.0</v>
      </c>
    </row>
    <row r="91">
      <c r="B91" s="19">
        <v>91.0</v>
      </c>
    </row>
    <row r="92">
      <c r="B92" s="19">
        <v>92.0</v>
      </c>
    </row>
    <row r="93">
      <c r="B93" s="19">
        <v>93.0</v>
      </c>
    </row>
    <row r="94">
      <c r="B94" s="19">
        <v>94.0</v>
      </c>
    </row>
    <row r="95">
      <c r="B95" s="19">
        <v>95.0</v>
      </c>
    </row>
    <row r="96">
      <c r="B96" s="19">
        <v>96.0</v>
      </c>
    </row>
    <row r="97">
      <c r="B97" s="19">
        <v>97.0</v>
      </c>
    </row>
    <row r="98">
      <c r="B98" s="19">
        <v>98.0</v>
      </c>
    </row>
    <row r="99">
      <c r="B99" s="19">
        <v>99.0</v>
      </c>
    </row>
    <row r="100">
      <c r="B100" s="19">
        <v>100.0</v>
      </c>
    </row>
    <row r="101">
      <c r="B101" s="19">
        <v>101.0</v>
      </c>
    </row>
    <row r="102">
      <c r="B102" s="19">
        <v>102.0</v>
      </c>
    </row>
    <row r="103">
      <c r="B103" s="19">
        <v>103.0</v>
      </c>
    </row>
    <row r="104">
      <c r="B104" s="19">
        <v>104.0</v>
      </c>
    </row>
    <row r="105">
      <c r="B105" s="19">
        <v>105.0</v>
      </c>
    </row>
    <row r="106">
      <c r="B106" s="19">
        <v>106.0</v>
      </c>
    </row>
    <row r="107">
      <c r="B107" s="19">
        <v>107.0</v>
      </c>
    </row>
    <row r="108">
      <c r="B108" s="19">
        <v>108.0</v>
      </c>
    </row>
    <row r="109">
      <c r="B109" s="19">
        <v>109.0</v>
      </c>
    </row>
    <row r="110">
      <c r="B110" s="19">
        <v>110.0</v>
      </c>
    </row>
    <row r="111">
      <c r="B111" s="19">
        <v>111.0</v>
      </c>
    </row>
    <row r="112">
      <c r="B112" s="19">
        <v>112.0</v>
      </c>
    </row>
    <row r="113">
      <c r="B113" s="19">
        <v>113.0</v>
      </c>
    </row>
    <row r="114">
      <c r="B114" s="19">
        <v>114.0</v>
      </c>
    </row>
    <row r="115">
      <c r="B115" s="19">
        <v>115.0</v>
      </c>
    </row>
    <row r="116">
      <c r="B116" s="19">
        <v>116.0</v>
      </c>
    </row>
    <row r="117">
      <c r="B117" s="19">
        <v>117.0</v>
      </c>
    </row>
    <row r="118">
      <c r="B118" s="19">
        <v>118.0</v>
      </c>
    </row>
    <row r="119">
      <c r="B119" s="19">
        <v>119.0</v>
      </c>
    </row>
    <row r="120">
      <c r="B120" s="19">
        <v>120.0</v>
      </c>
    </row>
    <row r="121">
      <c r="B121" s="19">
        <v>121.0</v>
      </c>
    </row>
    <row r="122">
      <c r="B122" s="19">
        <v>122.0</v>
      </c>
    </row>
    <row r="123">
      <c r="B123" s="19">
        <v>123.0</v>
      </c>
    </row>
    <row r="124">
      <c r="B124" s="19">
        <v>124.0</v>
      </c>
    </row>
    <row r="125">
      <c r="B125" s="19">
        <v>125.0</v>
      </c>
    </row>
    <row r="126">
      <c r="B126" s="19">
        <v>126.0</v>
      </c>
    </row>
    <row r="127">
      <c r="B127" s="19">
        <v>127.0</v>
      </c>
    </row>
    <row r="128">
      <c r="B128" s="19">
        <v>128.0</v>
      </c>
    </row>
    <row r="129">
      <c r="B129" s="19">
        <v>129.0</v>
      </c>
    </row>
    <row r="130">
      <c r="B130" s="19">
        <v>130.0</v>
      </c>
    </row>
    <row r="131">
      <c r="B131" s="19">
        <v>131.0</v>
      </c>
    </row>
    <row r="132">
      <c r="B132" s="19">
        <v>132.0</v>
      </c>
    </row>
    <row r="133">
      <c r="B133" s="19">
        <v>133.0</v>
      </c>
    </row>
    <row r="134">
      <c r="B134" s="19">
        <v>134.0</v>
      </c>
    </row>
    <row r="135">
      <c r="B135" s="19">
        <v>135.0</v>
      </c>
    </row>
    <row r="136">
      <c r="B136" s="19">
        <v>136.0</v>
      </c>
    </row>
    <row r="137">
      <c r="B137" s="19">
        <v>137.0</v>
      </c>
    </row>
    <row r="138">
      <c r="B138" s="19">
        <v>138.0</v>
      </c>
    </row>
    <row r="139">
      <c r="B139" s="19">
        <v>139.0</v>
      </c>
    </row>
    <row r="140">
      <c r="B140" s="19">
        <v>140.0</v>
      </c>
    </row>
    <row r="141">
      <c r="B141" s="19">
        <v>141.0</v>
      </c>
    </row>
    <row r="142">
      <c r="B142" s="19">
        <v>142.0</v>
      </c>
    </row>
    <row r="143">
      <c r="B143" s="19">
        <v>143.0</v>
      </c>
    </row>
    <row r="144">
      <c r="B144" s="19">
        <v>144.0</v>
      </c>
    </row>
    <row r="145">
      <c r="B145" s="19">
        <v>145.0</v>
      </c>
    </row>
    <row r="146">
      <c r="B146" s="19">
        <v>146.0</v>
      </c>
    </row>
    <row r="147">
      <c r="B147" s="19">
        <v>147.0</v>
      </c>
    </row>
    <row r="148">
      <c r="B148" s="19">
        <v>148.0</v>
      </c>
    </row>
    <row r="149">
      <c r="B149" s="19">
        <v>149.0</v>
      </c>
    </row>
    <row r="150">
      <c r="B150" s="19">
        <v>150.0</v>
      </c>
    </row>
    <row r="151">
      <c r="B151" s="19">
        <v>151.0</v>
      </c>
    </row>
    <row r="152">
      <c r="B152" s="19">
        <v>152.0</v>
      </c>
    </row>
    <row r="153">
      <c r="B153" s="19">
        <v>153.0</v>
      </c>
    </row>
    <row r="154">
      <c r="B154" s="19">
        <v>154.0</v>
      </c>
    </row>
    <row r="155">
      <c r="B155" s="19">
        <v>155.0</v>
      </c>
    </row>
    <row r="156">
      <c r="B156" s="19">
        <v>156.0</v>
      </c>
    </row>
    <row r="157">
      <c r="B157" s="19">
        <v>157.0</v>
      </c>
    </row>
    <row r="158">
      <c r="B158" s="19">
        <v>158.0</v>
      </c>
    </row>
    <row r="159">
      <c r="B159" s="19">
        <v>159.0</v>
      </c>
    </row>
    <row r="160">
      <c r="B160" s="19">
        <v>160.0</v>
      </c>
    </row>
    <row r="161">
      <c r="B161" s="19">
        <v>161.0</v>
      </c>
    </row>
    <row r="162">
      <c r="B162" s="19">
        <v>162.0</v>
      </c>
    </row>
    <row r="163">
      <c r="B163" s="19">
        <v>163.0</v>
      </c>
    </row>
    <row r="164">
      <c r="B164" s="19">
        <v>164.0</v>
      </c>
    </row>
    <row r="165">
      <c r="B165" s="19">
        <v>165.0</v>
      </c>
    </row>
    <row r="166">
      <c r="B166" s="19">
        <v>166.0</v>
      </c>
    </row>
    <row r="167">
      <c r="B167" s="19">
        <v>167.0</v>
      </c>
    </row>
    <row r="168">
      <c r="B168" s="19">
        <v>168.0</v>
      </c>
    </row>
    <row r="169">
      <c r="B169" s="19">
        <v>169.0</v>
      </c>
    </row>
    <row r="170">
      <c r="B170" s="19">
        <v>170.0</v>
      </c>
    </row>
    <row r="171">
      <c r="B171" s="19">
        <v>171.0</v>
      </c>
    </row>
    <row r="172">
      <c r="B172" s="19">
        <v>172.0</v>
      </c>
    </row>
    <row r="173">
      <c r="B173" s="19">
        <v>173.0</v>
      </c>
    </row>
    <row r="174">
      <c r="B174" s="19">
        <v>174.0</v>
      </c>
    </row>
    <row r="175">
      <c r="B175" s="19">
        <v>175.0</v>
      </c>
    </row>
    <row r="176">
      <c r="B176" s="19">
        <v>176.0</v>
      </c>
    </row>
    <row r="177">
      <c r="B177" s="19">
        <v>177.0</v>
      </c>
    </row>
    <row r="178">
      <c r="B178" s="19">
        <v>178.0</v>
      </c>
    </row>
    <row r="179">
      <c r="B179" s="19">
        <v>179.0</v>
      </c>
    </row>
    <row r="180">
      <c r="B180" s="19">
        <v>180.0</v>
      </c>
    </row>
    <row r="181">
      <c r="B181" s="19">
        <v>181.0</v>
      </c>
    </row>
    <row r="182">
      <c r="B182" s="19">
        <v>182.0</v>
      </c>
    </row>
    <row r="183">
      <c r="B183" s="19">
        <v>183.0</v>
      </c>
    </row>
    <row r="184">
      <c r="B184" s="19">
        <v>184.0</v>
      </c>
    </row>
    <row r="185">
      <c r="B185" s="19">
        <v>185.0</v>
      </c>
    </row>
    <row r="186">
      <c r="B186" s="19">
        <v>186.0</v>
      </c>
    </row>
    <row r="187">
      <c r="B187" s="19">
        <v>187.0</v>
      </c>
    </row>
    <row r="188">
      <c r="B188" s="19">
        <v>188.0</v>
      </c>
    </row>
    <row r="189">
      <c r="B189" s="19">
        <v>189.0</v>
      </c>
    </row>
    <row r="190">
      <c r="B190" s="19">
        <v>190.0</v>
      </c>
    </row>
    <row r="191">
      <c r="B191" s="19">
        <v>191.0</v>
      </c>
    </row>
    <row r="192">
      <c r="B192" s="19">
        <v>192.0</v>
      </c>
    </row>
    <row r="193">
      <c r="B193" s="19">
        <v>193.0</v>
      </c>
    </row>
    <row r="194">
      <c r="B194" s="19">
        <v>194.0</v>
      </c>
    </row>
    <row r="195">
      <c r="B195" s="19">
        <v>195.0</v>
      </c>
    </row>
    <row r="196">
      <c r="B196" s="19">
        <v>196.0</v>
      </c>
    </row>
    <row r="197">
      <c r="B197" s="19">
        <v>197.0</v>
      </c>
    </row>
    <row r="198">
      <c r="B198" s="19">
        <v>198.0</v>
      </c>
    </row>
    <row r="199">
      <c r="B199" s="19">
        <v>199.0</v>
      </c>
    </row>
    <row r="200">
      <c r="B200" s="19">
        <v>200.0</v>
      </c>
    </row>
    <row r="201">
      <c r="B201" s="19">
        <v>201.0</v>
      </c>
    </row>
    <row r="202">
      <c r="B202" s="19">
        <v>202.0</v>
      </c>
    </row>
    <row r="203">
      <c r="B203" s="19">
        <v>203.0</v>
      </c>
    </row>
    <row r="204">
      <c r="B204" s="19">
        <v>204.0</v>
      </c>
    </row>
    <row r="205">
      <c r="B205" s="19">
        <v>205.0</v>
      </c>
    </row>
    <row r="206">
      <c r="B206" s="19">
        <v>206.0</v>
      </c>
    </row>
    <row r="207">
      <c r="B207" s="19">
        <v>207.0</v>
      </c>
    </row>
    <row r="208">
      <c r="B208" s="19">
        <v>208.0</v>
      </c>
    </row>
    <row r="209">
      <c r="B209" s="19">
        <v>209.0</v>
      </c>
    </row>
    <row r="210">
      <c r="B210" s="19">
        <v>210.0</v>
      </c>
    </row>
    <row r="211">
      <c r="B211" s="19">
        <v>211.0</v>
      </c>
    </row>
    <row r="212">
      <c r="B212" s="19">
        <v>212.0</v>
      </c>
    </row>
    <row r="213">
      <c r="B213" s="19">
        <v>213.0</v>
      </c>
    </row>
    <row r="214">
      <c r="B214" s="19">
        <v>214.0</v>
      </c>
    </row>
    <row r="215">
      <c r="B215" s="19">
        <v>215.0</v>
      </c>
    </row>
    <row r="216">
      <c r="B216" s="19">
        <v>216.0</v>
      </c>
    </row>
    <row r="217">
      <c r="B217" s="19">
        <v>217.0</v>
      </c>
    </row>
    <row r="218">
      <c r="B218" s="19">
        <v>218.0</v>
      </c>
    </row>
    <row r="219">
      <c r="B219" s="19">
        <v>219.0</v>
      </c>
    </row>
    <row r="220">
      <c r="B220" s="19">
        <v>220.0</v>
      </c>
    </row>
    <row r="221">
      <c r="B221" s="19">
        <v>221.0</v>
      </c>
    </row>
    <row r="222">
      <c r="B222" s="19">
        <v>222.0</v>
      </c>
    </row>
    <row r="223">
      <c r="B223" s="19">
        <v>223.0</v>
      </c>
    </row>
    <row r="224">
      <c r="B224" s="19">
        <v>224.0</v>
      </c>
    </row>
    <row r="225">
      <c r="B225" s="19">
        <v>225.0</v>
      </c>
    </row>
    <row r="226">
      <c r="B226" s="19">
        <v>226.0</v>
      </c>
    </row>
    <row r="227">
      <c r="B227" s="19">
        <v>227.0</v>
      </c>
    </row>
    <row r="228">
      <c r="B228" s="19">
        <v>228.0</v>
      </c>
    </row>
    <row r="229">
      <c r="B229" s="19">
        <v>229.0</v>
      </c>
    </row>
    <row r="230">
      <c r="B230" s="19">
        <v>230.0</v>
      </c>
    </row>
    <row r="231">
      <c r="B231" s="19">
        <v>231.0</v>
      </c>
    </row>
    <row r="232">
      <c r="B232" s="19">
        <v>232.0</v>
      </c>
    </row>
    <row r="233">
      <c r="B233" s="19">
        <v>233.0</v>
      </c>
    </row>
    <row r="234">
      <c r="B234" s="19">
        <v>234.0</v>
      </c>
    </row>
    <row r="235">
      <c r="B235" s="19">
        <v>235.0</v>
      </c>
    </row>
    <row r="236">
      <c r="B236" s="19">
        <v>236.0</v>
      </c>
    </row>
    <row r="237">
      <c r="B237" s="19">
        <v>237.0</v>
      </c>
    </row>
    <row r="238">
      <c r="B238" s="19">
        <v>238.0</v>
      </c>
    </row>
    <row r="239">
      <c r="B239" s="19">
        <v>239.0</v>
      </c>
    </row>
    <row r="240">
      <c r="B240" s="19">
        <v>240.0</v>
      </c>
    </row>
    <row r="241">
      <c r="B241" s="19">
        <v>241.0</v>
      </c>
    </row>
    <row r="242">
      <c r="B242" s="19">
        <v>242.0</v>
      </c>
    </row>
    <row r="243">
      <c r="B243" s="19">
        <v>243.0</v>
      </c>
    </row>
    <row r="244">
      <c r="B244" s="19">
        <v>244.0</v>
      </c>
    </row>
    <row r="245">
      <c r="B245" s="19">
        <v>245.0</v>
      </c>
    </row>
    <row r="246">
      <c r="B246" s="19">
        <v>246.0</v>
      </c>
    </row>
    <row r="247">
      <c r="B247" s="19">
        <v>247.0</v>
      </c>
    </row>
    <row r="248">
      <c r="B248" s="19">
        <v>248.0</v>
      </c>
    </row>
    <row r="249">
      <c r="B249" s="19">
        <v>249.0</v>
      </c>
    </row>
    <row r="250">
      <c r="B250" s="19">
        <v>250.0</v>
      </c>
    </row>
    <row r="251">
      <c r="B251" s="19">
        <v>251.0</v>
      </c>
    </row>
    <row r="252">
      <c r="B252" s="19">
        <v>252.0</v>
      </c>
    </row>
    <row r="253">
      <c r="B253" s="19">
        <v>253.0</v>
      </c>
    </row>
    <row r="254">
      <c r="B254" s="19">
        <v>254.0</v>
      </c>
    </row>
    <row r="255">
      <c r="B255" s="19">
        <v>255.0</v>
      </c>
    </row>
    <row r="256">
      <c r="B256" s="19">
        <v>256.0</v>
      </c>
    </row>
    <row r="257">
      <c r="B257" s="19">
        <v>257.0</v>
      </c>
    </row>
    <row r="258">
      <c r="B258" s="19">
        <v>258.0</v>
      </c>
    </row>
    <row r="259">
      <c r="B259" s="19">
        <v>259.0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38"/>
    <col customWidth="1" min="3" max="3" width="4.25"/>
    <col customWidth="1" min="4" max="4" width="19.75"/>
    <col customWidth="1" min="5" max="5" width="18.5"/>
    <col customWidth="1" min="6" max="6" width="6.88"/>
    <col customWidth="1" min="7" max="7" width="8.25"/>
    <col customWidth="1" min="8" max="8" width="7.5"/>
  </cols>
  <sheetData>
    <row r="1">
      <c r="A1" s="19" t="s">
        <v>476</v>
      </c>
      <c r="B1" s="19" t="s">
        <v>4</v>
      </c>
      <c r="C1" s="19" t="s">
        <v>5</v>
      </c>
      <c r="D1" s="19" t="s">
        <v>6</v>
      </c>
      <c r="E1" s="19" t="s">
        <v>7</v>
      </c>
      <c r="F1" s="19" t="s">
        <v>8</v>
      </c>
      <c r="G1" s="19" t="s">
        <v>477</v>
      </c>
      <c r="H1" s="20" t="s">
        <v>10</v>
      </c>
    </row>
    <row r="2">
      <c r="A2" s="19">
        <v>1.0</v>
      </c>
      <c r="B2" s="19">
        <v>1.0</v>
      </c>
      <c r="C2" s="19">
        <v>1.0</v>
      </c>
      <c r="D2" s="19" t="s">
        <v>13</v>
      </c>
      <c r="E2" s="19" t="s">
        <v>14</v>
      </c>
      <c r="F2" s="19" t="s">
        <v>15</v>
      </c>
      <c r="G2" s="21">
        <v>1.0</v>
      </c>
      <c r="H2" s="22">
        <v>99.1</v>
      </c>
    </row>
    <row r="3">
      <c r="A3" s="19">
        <v>2.0</v>
      </c>
      <c r="B3" s="19">
        <v>2.0</v>
      </c>
      <c r="C3" s="19">
        <v>3.0</v>
      </c>
      <c r="D3" s="19" t="s">
        <v>17</v>
      </c>
      <c r="E3" s="19" t="s">
        <v>18</v>
      </c>
      <c r="F3" s="19" t="s">
        <v>19</v>
      </c>
      <c r="G3" s="21">
        <v>1.0</v>
      </c>
      <c r="H3" s="22">
        <v>75.7</v>
      </c>
    </row>
    <row r="4">
      <c r="A4" s="19">
        <v>3.0</v>
      </c>
      <c r="B4" s="19">
        <v>3.0</v>
      </c>
      <c r="C4" s="19">
        <v>2.0</v>
      </c>
      <c r="D4" s="19" t="s">
        <v>21</v>
      </c>
      <c r="E4" s="19" t="s">
        <v>22</v>
      </c>
      <c r="F4" s="19" t="s">
        <v>23</v>
      </c>
      <c r="G4" s="21">
        <v>1.0</v>
      </c>
      <c r="H4" s="22">
        <v>76.5</v>
      </c>
    </row>
    <row r="5">
      <c r="A5" s="19">
        <v>4.0</v>
      </c>
      <c r="B5" s="19">
        <v>5.0</v>
      </c>
      <c r="C5" s="19">
        <v>4.0</v>
      </c>
      <c r="D5" s="19" t="s">
        <v>25</v>
      </c>
      <c r="E5" s="19" t="s">
        <v>18</v>
      </c>
      <c r="F5" s="19" t="s">
        <v>26</v>
      </c>
      <c r="G5" s="21">
        <v>1.0</v>
      </c>
      <c r="H5" s="22">
        <v>79.7</v>
      </c>
    </row>
    <row r="6">
      <c r="A6" s="19">
        <v>5.0</v>
      </c>
      <c r="B6" s="19">
        <v>6.0</v>
      </c>
      <c r="C6" s="19">
        <v>5.0</v>
      </c>
      <c r="D6" s="19" t="s">
        <v>28</v>
      </c>
      <c r="E6" s="19" t="s">
        <v>18</v>
      </c>
      <c r="F6" s="19" t="s">
        <v>19</v>
      </c>
      <c r="G6" s="21">
        <v>2.0</v>
      </c>
      <c r="H6" s="22">
        <v>76.5</v>
      </c>
    </row>
    <row r="7">
      <c r="A7" s="19">
        <v>6.0</v>
      </c>
      <c r="B7" s="19">
        <v>8.0</v>
      </c>
      <c r="C7" s="19">
        <v>6.0</v>
      </c>
      <c r="D7" s="19" t="s">
        <v>30</v>
      </c>
      <c r="E7" s="19" t="s">
        <v>31</v>
      </c>
      <c r="F7" s="19" t="s">
        <v>32</v>
      </c>
      <c r="G7" s="21">
        <v>1.0</v>
      </c>
      <c r="H7" s="22">
        <v>84.3</v>
      </c>
    </row>
    <row r="8">
      <c r="A8" s="19">
        <v>7.0</v>
      </c>
      <c r="B8" s="19">
        <v>4.0</v>
      </c>
      <c r="C8" s="19">
        <v>7.0</v>
      </c>
      <c r="D8" s="19" t="s">
        <v>34</v>
      </c>
      <c r="E8" s="19" t="s">
        <v>35</v>
      </c>
      <c r="F8" s="19" t="s">
        <v>32</v>
      </c>
      <c r="G8" s="21">
        <v>2.0</v>
      </c>
      <c r="H8" s="22">
        <v>86.0</v>
      </c>
    </row>
    <row r="9">
      <c r="A9" s="19">
        <v>8.0</v>
      </c>
      <c r="B9" s="19">
        <v>7.0</v>
      </c>
      <c r="C9" s="19">
        <v>10.0</v>
      </c>
      <c r="D9" s="19" t="s">
        <v>37</v>
      </c>
      <c r="E9" s="19" t="s">
        <v>31</v>
      </c>
      <c r="F9" s="19" t="s">
        <v>38</v>
      </c>
      <c r="G9" s="21">
        <v>1.0</v>
      </c>
      <c r="H9" s="22">
        <v>79.2</v>
      </c>
    </row>
    <row r="10">
      <c r="A10" s="19">
        <v>9.0</v>
      </c>
      <c r="B10" s="19">
        <v>9.0</v>
      </c>
      <c r="C10" s="19">
        <v>9.0</v>
      </c>
      <c r="D10" s="19" t="s">
        <v>39</v>
      </c>
      <c r="E10" s="19" t="s">
        <v>18</v>
      </c>
      <c r="F10" s="19" t="s">
        <v>40</v>
      </c>
      <c r="G10" s="21">
        <v>1.0</v>
      </c>
      <c r="H10" s="22">
        <v>79.2</v>
      </c>
    </row>
    <row r="11">
      <c r="A11" s="19">
        <v>10.0</v>
      </c>
      <c r="B11" s="19">
        <v>10.0</v>
      </c>
      <c r="C11" s="19">
        <v>8.0</v>
      </c>
      <c r="D11" s="19" t="s">
        <v>42</v>
      </c>
      <c r="E11" s="19" t="s">
        <v>43</v>
      </c>
      <c r="F11" s="19" t="s">
        <v>44</v>
      </c>
      <c r="G11" s="21">
        <v>1.0</v>
      </c>
      <c r="H11" s="22">
        <v>71.1</v>
      </c>
    </row>
    <row r="12">
      <c r="A12" s="19">
        <v>11.0</v>
      </c>
      <c r="B12" s="19">
        <v>11.0</v>
      </c>
      <c r="C12" s="19">
        <v>11.0</v>
      </c>
      <c r="D12" s="19" t="s">
        <v>46</v>
      </c>
      <c r="E12" s="19" t="s">
        <v>47</v>
      </c>
      <c r="F12" s="19" t="s">
        <v>38</v>
      </c>
      <c r="G12" s="21">
        <v>2.0</v>
      </c>
      <c r="H12" s="22">
        <v>84.2</v>
      </c>
    </row>
    <row r="13">
      <c r="A13" s="19">
        <v>12.0</v>
      </c>
      <c r="B13" s="19">
        <v>12.0</v>
      </c>
      <c r="C13" s="19">
        <v>14.0</v>
      </c>
      <c r="D13" s="19" t="s">
        <v>49</v>
      </c>
      <c r="E13" s="19" t="s">
        <v>50</v>
      </c>
      <c r="F13" s="19" t="s">
        <v>40</v>
      </c>
      <c r="G13" s="21">
        <v>2.0</v>
      </c>
      <c r="H13" s="22">
        <v>82.4</v>
      </c>
    </row>
    <row r="14">
      <c r="A14" s="19">
        <v>13.0</v>
      </c>
      <c r="B14" s="19">
        <v>13.0</v>
      </c>
      <c r="C14" s="19">
        <v>15.0</v>
      </c>
      <c r="D14" s="19" t="s">
        <v>52</v>
      </c>
      <c r="E14" s="19" t="s">
        <v>53</v>
      </c>
      <c r="F14" s="19" t="s">
        <v>54</v>
      </c>
      <c r="G14" s="21">
        <v>1.0</v>
      </c>
      <c r="H14" s="22">
        <v>84.2</v>
      </c>
    </row>
    <row r="15">
      <c r="A15" s="19">
        <v>14.0</v>
      </c>
      <c r="B15" s="19">
        <v>14.0</v>
      </c>
      <c r="C15" s="19">
        <v>13.0</v>
      </c>
      <c r="D15" s="19" t="s">
        <v>56</v>
      </c>
      <c r="E15" s="19" t="s">
        <v>57</v>
      </c>
      <c r="F15" s="19" t="s">
        <v>44</v>
      </c>
      <c r="G15" s="21">
        <v>2.0</v>
      </c>
      <c r="H15" s="22">
        <v>81.1</v>
      </c>
    </row>
    <row r="16">
      <c r="A16" s="19">
        <v>15.0</v>
      </c>
      <c r="B16" s="19">
        <v>15.0</v>
      </c>
      <c r="C16" s="19">
        <v>12.0</v>
      </c>
      <c r="D16" s="19" t="s">
        <v>58</v>
      </c>
      <c r="E16" s="19" t="s">
        <v>59</v>
      </c>
      <c r="F16" s="19" t="s">
        <v>40</v>
      </c>
      <c r="G16" s="21">
        <v>3.0</v>
      </c>
      <c r="H16" s="22">
        <v>83.3</v>
      </c>
    </row>
    <row r="17">
      <c r="A17" s="19">
        <v>16.0</v>
      </c>
      <c r="B17" s="19">
        <v>16.0</v>
      </c>
      <c r="C17" s="19">
        <v>16.0</v>
      </c>
      <c r="D17" s="19" t="s">
        <v>61</v>
      </c>
      <c r="E17" s="19" t="s">
        <v>62</v>
      </c>
      <c r="F17" s="19" t="s">
        <v>63</v>
      </c>
      <c r="G17" s="21">
        <v>1.0</v>
      </c>
      <c r="H17" s="22">
        <v>81.1</v>
      </c>
    </row>
    <row r="18">
      <c r="A18" s="19">
        <v>17.0</v>
      </c>
      <c r="B18" s="19">
        <v>19.0</v>
      </c>
      <c r="C18" s="19">
        <v>17.0</v>
      </c>
      <c r="D18" s="19" t="s">
        <v>64</v>
      </c>
      <c r="E18" s="19" t="s">
        <v>62</v>
      </c>
      <c r="F18" s="19" t="s">
        <v>26</v>
      </c>
      <c r="G18" s="21">
        <v>2.0</v>
      </c>
      <c r="H18" s="22">
        <v>87.4</v>
      </c>
    </row>
    <row r="19">
      <c r="A19" s="19">
        <v>18.0</v>
      </c>
      <c r="B19" s="19">
        <v>17.0</v>
      </c>
      <c r="C19" s="19">
        <v>18.0</v>
      </c>
      <c r="D19" s="19" t="s">
        <v>66</v>
      </c>
      <c r="E19" s="19" t="s">
        <v>67</v>
      </c>
      <c r="F19" s="19" t="s">
        <v>38</v>
      </c>
      <c r="G19" s="21">
        <v>3.0</v>
      </c>
      <c r="H19" s="22">
        <v>99.2</v>
      </c>
    </row>
    <row r="20">
      <c r="A20" s="19">
        <v>19.0</v>
      </c>
      <c r="B20" s="19">
        <v>18.0</v>
      </c>
      <c r="C20" s="19">
        <v>19.0</v>
      </c>
      <c r="D20" s="19" t="s">
        <v>69</v>
      </c>
      <c r="E20" s="19" t="s">
        <v>70</v>
      </c>
      <c r="F20" s="19" t="s">
        <v>38</v>
      </c>
      <c r="G20" s="21">
        <v>4.0</v>
      </c>
      <c r="H20" s="22">
        <v>106.4</v>
      </c>
    </row>
    <row r="21">
      <c r="A21" s="19">
        <v>20.0</v>
      </c>
      <c r="B21" s="19">
        <v>20.0</v>
      </c>
      <c r="C21" s="19">
        <v>20.0</v>
      </c>
      <c r="D21" s="19" t="s">
        <v>72</v>
      </c>
      <c r="E21" s="19" t="s">
        <v>73</v>
      </c>
      <c r="F21" s="19" t="s">
        <v>32</v>
      </c>
      <c r="G21" s="21">
        <v>3.0</v>
      </c>
      <c r="H21" s="22">
        <v>118.1</v>
      </c>
    </row>
    <row r="22">
      <c r="A22" s="19">
        <v>21.0</v>
      </c>
      <c r="B22" s="19">
        <v>29.0</v>
      </c>
      <c r="C22" s="19">
        <v>21.0</v>
      </c>
      <c r="D22" s="19" t="s">
        <v>74</v>
      </c>
      <c r="E22" s="19" t="s">
        <v>75</v>
      </c>
      <c r="F22" s="19" t="s">
        <v>44</v>
      </c>
      <c r="G22" s="21">
        <v>3.0</v>
      </c>
      <c r="H22" s="22">
        <v>109.6</v>
      </c>
    </row>
    <row r="23">
      <c r="A23" s="19">
        <v>22.0</v>
      </c>
      <c r="B23" s="19">
        <v>21.0</v>
      </c>
      <c r="C23" s="19">
        <v>22.0</v>
      </c>
      <c r="D23" s="19" t="s">
        <v>77</v>
      </c>
      <c r="E23" s="19" t="s">
        <v>31</v>
      </c>
      <c r="F23" s="19" t="s">
        <v>32</v>
      </c>
      <c r="G23" s="21">
        <v>4.0</v>
      </c>
      <c r="H23" s="22">
        <v>108.7</v>
      </c>
    </row>
    <row r="24">
      <c r="A24" s="19">
        <v>23.0</v>
      </c>
      <c r="B24" s="19">
        <v>24.0</v>
      </c>
      <c r="C24" s="19">
        <v>24.0</v>
      </c>
      <c r="D24" s="19" t="s">
        <v>79</v>
      </c>
      <c r="E24" s="19" t="s">
        <v>80</v>
      </c>
      <c r="F24" s="19" t="s">
        <v>40</v>
      </c>
      <c r="G24" s="21">
        <v>4.0</v>
      </c>
      <c r="H24" s="22">
        <v>92.8</v>
      </c>
    </row>
    <row r="25">
      <c r="A25" s="19">
        <v>24.0</v>
      </c>
      <c r="B25" s="19">
        <v>23.0</v>
      </c>
      <c r="C25" s="19">
        <v>25.0</v>
      </c>
      <c r="D25" s="19" t="s">
        <v>81</v>
      </c>
      <c r="E25" s="19" t="s">
        <v>82</v>
      </c>
      <c r="F25" s="19" t="s">
        <v>26</v>
      </c>
      <c r="G25" s="21">
        <v>3.0</v>
      </c>
      <c r="H25" s="22">
        <v>88.8</v>
      </c>
    </row>
    <row r="26">
      <c r="A26" s="19">
        <v>25.0</v>
      </c>
      <c r="B26" s="19">
        <v>22.0</v>
      </c>
      <c r="C26" s="19">
        <v>26.0</v>
      </c>
      <c r="D26" s="19" t="s">
        <v>83</v>
      </c>
      <c r="E26" s="19" t="s">
        <v>14</v>
      </c>
      <c r="F26" s="19" t="s">
        <v>40</v>
      </c>
      <c r="G26" s="21">
        <v>5.0</v>
      </c>
      <c r="H26" s="22">
        <v>99.2</v>
      </c>
    </row>
    <row r="27">
      <c r="A27" s="19">
        <v>26.0</v>
      </c>
      <c r="B27" s="19">
        <v>34.0</v>
      </c>
      <c r="C27" s="19">
        <v>23.0</v>
      </c>
      <c r="D27" s="19" t="s">
        <v>84</v>
      </c>
      <c r="E27" s="19" t="s">
        <v>75</v>
      </c>
      <c r="F27" s="19" t="s">
        <v>85</v>
      </c>
      <c r="G27" s="21">
        <v>1.0</v>
      </c>
      <c r="H27" s="22">
        <v>99.1</v>
      </c>
    </row>
    <row r="28">
      <c r="A28" s="19">
        <v>27.0</v>
      </c>
      <c r="B28" s="19">
        <v>25.0</v>
      </c>
      <c r="C28" s="19">
        <v>27.0</v>
      </c>
      <c r="D28" s="19" t="s">
        <v>86</v>
      </c>
      <c r="E28" s="19" t="s">
        <v>87</v>
      </c>
      <c r="F28" s="19" t="s">
        <v>40</v>
      </c>
      <c r="G28" s="21">
        <v>6.0</v>
      </c>
      <c r="H28" s="22">
        <v>84.7</v>
      </c>
    </row>
    <row r="29">
      <c r="A29" s="19">
        <v>28.0</v>
      </c>
      <c r="B29" s="19">
        <v>26.0</v>
      </c>
      <c r="C29" s="19">
        <v>28.0</v>
      </c>
      <c r="D29" s="19" t="s">
        <v>88</v>
      </c>
      <c r="E29" s="19" t="s">
        <v>47</v>
      </c>
      <c r="F29" s="19" t="s">
        <v>38</v>
      </c>
      <c r="G29" s="21">
        <v>5.0</v>
      </c>
      <c r="H29" s="22">
        <v>87.4</v>
      </c>
    </row>
    <row r="30">
      <c r="A30" s="19">
        <v>29.0</v>
      </c>
      <c r="B30" s="19">
        <v>30.0</v>
      </c>
      <c r="C30" s="19">
        <v>29.0</v>
      </c>
      <c r="D30" s="19" t="s">
        <v>90</v>
      </c>
      <c r="E30" s="19" t="s">
        <v>18</v>
      </c>
      <c r="F30" s="19" t="s">
        <v>91</v>
      </c>
      <c r="G30" s="21">
        <v>1.0</v>
      </c>
      <c r="H30" s="22">
        <v>82.5</v>
      </c>
    </row>
    <row r="31">
      <c r="A31" s="19">
        <v>30.0</v>
      </c>
      <c r="B31" s="19">
        <v>31.0</v>
      </c>
      <c r="C31" s="19">
        <v>30.0</v>
      </c>
      <c r="D31" s="19" t="s">
        <v>93</v>
      </c>
      <c r="E31" s="19" t="s">
        <v>75</v>
      </c>
      <c r="F31" s="19" t="s">
        <v>32</v>
      </c>
      <c r="G31" s="21">
        <v>5.0</v>
      </c>
      <c r="H31" s="22">
        <v>93.7</v>
      </c>
    </row>
    <row r="32">
      <c r="A32" s="19">
        <v>31.0</v>
      </c>
      <c r="B32" s="19">
        <v>28.0</v>
      </c>
      <c r="C32" s="19">
        <v>31.0</v>
      </c>
      <c r="D32" s="19" t="s">
        <v>95</v>
      </c>
      <c r="E32" s="19" t="s">
        <v>75</v>
      </c>
      <c r="F32" s="19" t="s">
        <v>38</v>
      </c>
      <c r="G32" s="21">
        <v>6.0</v>
      </c>
      <c r="H32" s="22">
        <v>91.0</v>
      </c>
    </row>
    <row r="33">
      <c r="A33" s="19">
        <v>32.0</v>
      </c>
      <c r="B33" s="19">
        <v>27.0</v>
      </c>
      <c r="C33" s="19">
        <v>32.0</v>
      </c>
      <c r="D33" s="19" t="s">
        <v>97</v>
      </c>
      <c r="E33" s="19" t="s">
        <v>57</v>
      </c>
      <c r="F33" s="19" t="s">
        <v>44</v>
      </c>
      <c r="G33" s="21">
        <v>4.0</v>
      </c>
      <c r="H33" s="22">
        <v>87.0</v>
      </c>
    </row>
    <row r="34">
      <c r="A34" s="19">
        <v>33.0</v>
      </c>
      <c r="B34" s="19">
        <v>36.0</v>
      </c>
      <c r="C34" s="19">
        <v>33.0</v>
      </c>
      <c r="D34" s="19" t="s">
        <v>98</v>
      </c>
      <c r="E34" s="19" t="s">
        <v>59</v>
      </c>
      <c r="F34" s="19" t="s">
        <v>38</v>
      </c>
      <c r="G34" s="21">
        <v>7.0</v>
      </c>
      <c r="H34" s="22">
        <v>92.4</v>
      </c>
    </row>
    <row r="35">
      <c r="A35" s="19">
        <v>34.0</v>
      </c>
      <c r="B35" s="19">
        <v>33.0</v>
      </c>
      <c r="C35" s="19">
        <v>35.0</v>
      </c>
      <c r="D35" s="19" t="s">
        <v>100</v>
      </c>
      <c r="E35" s="19" t="s">
        <v>101</v>
      </c>
      <c r="F35" s="19" t="s">
        <v>44</v>
      </c>
      <c r="G35" s="21">
        <v>5.0</v>
      </c>
      <c r="H35" s="22">
        <v>92.8</v>
      </c>
    </row>
    <row r="36">
      <c r="A36" s="19">
        <v>35.0</v>
      </c>
      <c r="B36" s="19">
        <v>38.0</v>
      </c>
      <c r="C36" s="19">
        <v>34.0</v>
      </c>
      <c r="D36" s="19" t="s">
        <v>102</v>
      </c>
      <c r="E36" s="19" t="s">
        <v>67</v>
      </c>
      <c r="F36" s="19" t="s">
        <v>19</v>
      </c>
      <c r="G36" s="21">
        <v>3.0</v>
      </c>
      <c r="H36" s="22">
        <v>96.4</v>
      </c>
    </row>
    <row r="37">
      <c r="A37" s="19">
        <v>36.0</v>
      </c>
      <c r="B37" s="19">
        <v>32.0</v>
      </c>
      <c r="C37" s="19">
        <v>37.0</v>
      </c>
      <c r="D37" s="19" t="s">
        <v>104</v>
      </c>
      <c r="E37" s="19" t="s">
        <v>80</v>
      </c>
      <c r="F37" s="19" t="s">
        <v>32</v>
      </c>
      <c r="G37" s="21">
        <v>6.0</v>
      </c>
      <c r="H37" s="22">
        <v>91.0</v>
      </c>
    </row>
    <row r="38">
      <c r="A38" s="19">
        <v>37.0</v>
      </c>
      <c r="B38" s="19">
        <v>40.0</v>
      </c>
      <c r="C38" s="19">
        <v>36.0</v>
      </c>
      <c r="D38" s="19" t="s">
        <v>106</v>
      </c>
      <c r="E38" s="19" t="s">
        <v>107</v>
      </c>
      <c r="F38" s="19" t="s">
        <v>91</v>
      </c>
      <c r="G38" s="21">
        <v>2.0</v>
      </c>
      <c r="H38" s="22">
        <v>91.9</v>
      </c>
    </row>
    <row r="39">
      <c r="A39" s="19">
        <v>38.0</v>
      </c>
      <c r="B39" s="19">
        <v>35.0</v>
      </c>
      <c r="C39" s="19">
        <v>38.0</v>
      </c>
      <c r="D39" s="19" t="s">
        <v>109</v>
      </c>
      <c r="E39" s="19" t="s">
        <v>70</v>
      </c>
      <c r="F39" s="19" t="s">
        <v>15</v>
      </c>
      <c r="G39" s="21">
        <v>2.0</v>
      </c>
      <c r="H39" s="22">
        <v>105.1</v>
      </c>
    </row>
    <row r="40">
      <c r="A40" s="19">
        <v>39.0</v>
      </c>
      <c r="B40" s="19">
        <v>37.0</v>
      </c>
      <c r="C40" s="19">
        <v>39.0</v>
      </c>
      <c r="D40" s="19" t="s">
        <v>111</v>
      </c>
      <c r="E40" s="19" t="s">
        <v>112</v>
      </c>
      <c r="F40" s="19" t="s">
        <v>32</v>
      </c>
      <c r="G40" s="21">
        <v>7.0</v>
      </c>
      <c r="H40" s="22">
        <v>93.8</v>
      </c>
    </row>
    <row r="41">
      <c r="A41" s="19">
        <v>40.0</v>
      </c>
      <c r="B41" s="19">
        <v>46.0</v>
      </c>
      <c r="C41" s="19">
        <v>40.0</v>
      </c>
      <c r="D41" s="19" t="s">
        <v>113</v>
      </c>
      <c r="E41" s="19" t="s">
        <v>14</v>
      </c>
      <c r="F41" s="19" t="s">
        <v>44</v>
      </c>
      <c r="G41" s="21">
        <v>6.0</v>
      </c>
      <c r="H41" s="22">
        <v>88.3</v>
      </c>
    </row>
    <row r="42">
      <c r="A42" s="19">
        <v>41.0</v>
      </c>
      <c r="B42" s="19">
        <v>48.0</v>
      </c>
      <c r="C42" s="19">
        <v>41.0</v>
      </c>
      <c r="D42" s="19" t="s">
        <v>114</v>
      </c>
      <c r="E42" s="19" t="s">
        <v>62</v>
      </c>
      <c r="F42" s="19" t="s">
        <v>54</v>
      </c>
      <c r="G42" s="21">
        <v>2.0</v>
      </c>
      <c r="H42" s="22">
        <v>90.1</v>
      </c>
    </row>
    <row r="43">
      <c r="A43" s="19">
        <v>42.0</v>
      </c>
      <c r="B43" s="19">
        <v>44.0</v>
      </c>
      <c r="C43" s="19">
        <v>44.0</v>
      </c>
      <c r="D43" s="19" t="s">
        <v>116</v>
      </c>
      <c r="E43" s="19" t="s">
        <v>67</v>
      </c>
      <c r="F43" s="19" t="s">
        <v>91</v>
      </c>
      <c r="G43" s="21">
        <v>3.0</v>
      </c>
      <c r="H43" s="22">
        <v>90.2</v>
      </c>
    </row>
    <row r="44">
      <c r="A44" s="19">
        <v>43.0</v>
      </c>
      <c r="B44" s="19">
        <v>41.0</v>
      </c>
      <c r="C44" s="19">
        <v>43.0</v>
      </c>
      <c r="D44" s="19" t="s">
        <v>117</v>
      </c>
      <c r="E44" s="19" t="s">
        <v>35</v>
      </c>
      <c r="F44" s="19" t="s">
        <v>19</v>
      </c>
      <c r="G44" s="21">
        <v>4.0</v>
      </c>
      <c r="H44" s="22">
        <v>87.4</v>
      </c>
    </row>
    <row r="45">
      <c r="A45" s="19">
        <v>44.0</v>
      </c>
      <c r="B45" s="19">
        <v>45.0</v>
      </c>
      <c r="C45" s="19">
        <v>42.0</v>
      </c>
      <c r="D45" s="19" t="s">
        <v>118</v>
      </c>
      <c r="E45" s="19" t="s">
        <v>119</v>
      </c>
      <c r="F45" s="19" t="s">
        <v>44</v>
      </c>
      <c r="G45" s="21">
        <v>7.0</v>
      </c>
      <c r="H45" s="22">
        <v>89.7</v>
      </c>
    </row>
    <row r="46">
      <c r="A46" s="19">
        <v>45.0</v>
      </c>
      <c r="B46" s="19">
        <v>47.0</v>
      </c>
      <c r="C46" s="19">
        <v>45.0</v>
      </c>
      <c r="D46" s="19" t="s">
        <v>121</v>
      </c>
      <c r="E46" s="19" t="s">
        <v>35</v>
      </c>
      <c r="F46" s="19" t="s">
        <v>91</v>
      </c>
      <c r="G46" s="21">
        <v>4.0</v>
      </c>
      <c r="H46" s="22">
        <v>94.6</v>
      </c>
    </row>
    <row r="47">
      <c r="A47" s="19">
        <v>46.0</v>
      </c>
      <c r="B47" s="19">
        <v>43.0</v>
      </c>
      <c r="C47" s="19">
        <v>46.0</v>
      </c>
      <c r="D47" s="19" t="s">
        <v>122</v>
      </c>
      <c r="E47" s="19" t="s">
        <v>80</v>
      </c>
      <c r="F47" s="19" t="s">
        <v>54</v>
      </c>
      <c r="G47" s="21">
        <v>3.0</v>
      </c>
      <c r="H47" s="22">
        <v>84.7</v>
      </c>
    </row>
    <row r="48">
      <c r="A48" s="19">
        <v>47.0</v>
      </c>
      <c r="B48" s="19">
        <v>51.0</v>
      </c>
      <c r="C48" s="19">
        <v>47.0</v>
      </c>
      <c r="D48" s="19" t="s">
        <v>123</v>
      </c>
      <c r="E48" s="19" t="s">
        <v>124</v>
      </c>
      <c r="F48" s="19" t="s">
        <v>32</v>
      </c>
      <c r="G48" s="21">
        <v>8.0</v>
      </c>
      <c r="H48" s="22">
        <v>85.6</v>
      </c>
    </row>
    <row r="49">
      <c r="A49" s="19">
        <v>48.0</v>
      </c>
      <c r="B49" s="19">
        <v>49.0</v>
      </c>
      <c r="C49" s="19">
        <v>48.0</v>
      </c>
      <c r="D49" s="19" t="s">
        <v>125</v>
      </c>
      <c r="E49" s="19" t="s">
        <v>126</v>
      </c>
      <c r="F49" s="19" t="s">
        <v>32</v>
      </c>
      <c r="G49" s="21">
        <v>9.0</v>
      </c>
      <c r="H49" s="22">
        <v>94.2</v>
      </c>
    </row>
    <row r="50">
      <c r="A50" s="19">
        <v>49.0</v>
      </c>
      <c r="B50" s="19">
        <v>39.0</v>
      </c>
      <c r="C50" s="19">
        <v>49.0</v>
      </c>
      <c r="D50" s="19" t="s">
        <v>127</v>
      </c>
      <c r="E50" s="19" t="s">
        <v>128</v>
      </c>
      <c r="F50" s="19" t="s">
        <v>19</v>
      </c>
      <c r="G50" s="21">
        <v>5.0</v>
      </c>
      <c r="H50" s="22">
        <v>101.0</v>
      </c>
    </row>
    <row r="51">
      <c r="A51" s="19">
        <v>50.0</v>
      </c>
      <c r="B51" s="19">
        <v>52.0</v>
      </c>
      <c r="C51" s="19">
        <v>50.0</v>
      </c>
      <c r="D51" s="19" t="s">
        <v>129</v>
      </c>
      <c r="E51" s="19" t="s">
        <v>130</v>
      </c>
      <c r="F51" s="19" t="s">
        <v>32</v>
      </c>
      <c r="G51" s="21">
        <v>10.0</v>
      </c>
      <c r="H51" s="22">
        <v>86.5</v>
      </c>
    </row>
    <row r="52">
      <c r="A52" s="19">
        <v>51.0</v>
      </c>
      <c r="B52" s="19">
        <v>50.0</v>
      </c>
      <c r="C52" s="19">
        <v>51.0</v>
      </c>
      <c r="D52" s="19" t="s">
        <v>131</v>
      </c>
      <c r="E52" s="19" t="s">
        <v>70</v>
      </c>
      <c r="F52" s="19" t="s">
        <v>40</v>
      </c>
      <c r="G52" s="21">
        <v>7.0</v>
      </c>
      <c r="H52" s="22">
        <v>84.2</v>
      </c>
    </row>
    <row r="53">
      <c r="A53" s="19">
        <v>52.0</v>
      </c>
      <c r="B53" s="19">
        <v>53.0</v>
      </c>
      <c r="C53" s="19">
        <v>53.0</v>
      </c>
      <c r="D53" s="19" t="s">
        <v>132</v>
      </c>
      <c r="E53" s="19" t="s">
        <v>133</v>
      </c>
      <c r="F53" s="19" t="s">
        <v>19</v>
      </c>
      <c r="G53" s="21">
        <v>6.0</v>
      </c>
      <c r="H53" s="22">
        <v>81.5</v>
      </c>
    </row>
    <row r="54">
      <c r="A54" s="19">
        <v>53.0</v>
      </c>
      <c r="B54" s="19">
        <v>42.0</v>
      </c>
      <c r="C54" s="19">
        <v>55.0</v>
      </c>
      <c r="D54" s="19" t="s">
        <v>134</v>
      </c>
      <c r="E54" s="19" t="s">
        <v>22</v>
      </c>
      <c r="F54" s="19" t="s">
        <v>23</v>
      </c>
      <c r="G54" s="21">
        <v>2.0</v>
      </c>
      <c r="H54" s="22">
        <v>89.7</v>
      </c>
    </row>
    <row r="55">
      <c r="A55" s="19">
        <v>54.0</v>
      </c>
      <c r="B55" s="19">
        <v>63.0</v>
      </c>
      <c r="C55" s="19">
        <v>52.0</v>
      </c>
      <c r="D55" s="19" t="s">
        <v>136</v>
      </c>
      <c r="E55" s="19" t="s">
        <v>137</v>
      </c>
      <c r="F55" s="19" t="s">
        <v>40</v>
      </c>
      <c r="G55" s="21">
        <v>8.0</v>
      </c>
      <c r="H55" s="22">
        <v>94.6</v>
      </c>
    </row>
    <row r="56">
      <c r="A56" s="19">
        <v>55.0</v>
      </c>
      <c r="B56" s="19">
        <v>54.0</v>
      </c>
      <c r="C56" s="19">
        <v>58.0</v>
      </c>
      <c r="D56" s="19" t="s">
        <v>138</v>
      </c>
      <c r="E56" s="19" t="s">
        <v>31</v>
      </c>
      <c r="F56" s="19" t="s">
        <v>44</v>
      </c>
      <c r="G56" s="21">
        <v>8.0</v>
      </c>
      <c r="H56" s="22">
        <v>84.3</v>
      </c>
    </row>
    <row r="57">
      <c r="A57" s="19">
        <v>56.0</v>
      </c>
      <c r="B57" s="19">
        <v>59.0</v>
      </c>
      <c r="C57" s="19">
        <v>54.0</v>
      </c>
      <c r="D57" s="19" t="s">
        <v>139</v>
      </c>
      <c r="E57" s="19" t="s">
        <v>43</v>
      </c>
      <c r="F57" s="19" t="s">
        <v>26</v>
      </c>
      <c r="G57" s="21">
        <v>4.0</v>
      </c>
      <c r="H57" s="22">
        <v>82.9</v>
      </c>
    </row>
    <row r="58">
      <c r="A58" s="19">
        <v>57.0</v>
      </c>
      <c r="B58" s="19">
        <v>58.0</v>
      </c>
      <c r="C58" s="19">
        <v>56.0</v>
      </c>
      <c r="D58" s="19" t="s">
        <v>140</v>
      </c>
      <c r="E58" s="19" t="s">
        <v>57</v>
      </c>
      <c r="F58" s="19" t="s">
        <v>40</v>
      </c>
      <c r="G58" s="21">
        <v>9.0</v>
      </c>
      <c r="H58" s="22">
        <v>97.8</v>
      </c>
    </row>
    <row r="59">
      <c r="A59" s="19">
        <v>58.0</v>
      </c>
      <c r="B59" s="19">
        <v>55.0</v>
      </c>
      <c r="C59" s="19">
        <v>60.0</v>
      </c>
      <c r="D59" s="19" t="s">
        <v>141</v>
      </c>
      <c r="E59" s="19" t="s">
        <v>142</v>
      </c>
      <c r="F59" s="19" t="s">
        <v>63</v>
      </c>
      <c r="G59" s="21">
        <v>2.0</v>
      </c>
      <c r="H59" s="22">
        <v>101.0</v>
      </c>
    </row>
    <row r="60">
      <c r="A60" s="19">
        <v>59.0</v>
      </c>
      <c r="B60" s="19">
        <v>57.0</v>
      </c>
      <c r="C60" s="19">
        <v>61.0</v>
      </c>
      <c r="D60" s="19" t="s">
        <v>143</v>
      </c>
      <c r="E60" s="19" t="s">
        <v>144</v>
      </c>
      <c r="F60" s="19" t="s">
        <v>54</v>
      </c>
      <c r="G60" s="21">
        <v>4.0</v>
      </c>
      <c r="H60" s="22">
        <v>93.7</v>
      </c>
    </row>
    <row r="61">
      <c r="A61" s="19">
        <v>60.0</v>
      </c>
      <c r="B61" s="19">
        <v>66.0</v>
      </c>
      <c r="C61" s="19">
        <v>57.0</v>
      </c>
      <c r="D61" s="19" t="s">
        <v>145</v>
      </c>
      <c r="E61" s="19" t="s">
        <v>146</v>
      </c>
      <c r="F61" s="19" t="s">
        <v>44</v>
      </c>
      <c r="G61" s="21">
        <v>9.0</v>
      </c>
      <c r="H61" s="22">
        <v>99.2</v>
      </c>
    </row>
    <row r="62">
      <c r="A62" s="19">
        <v>61.0</v>
      </c>
      <c r="B62" s="19">
        <v>65.0</v>
      </c>
      <c r="C62" s="19">
        <v>59.0</v>
      </c>
      <c r="D62" s="19" t="s">
        <v>147</v>
      </c>
      <c r="E62" s="19" t="s">
        <v>59</v>
      </c>
      <c r="F62" s="19" t="s">
        <v>44</v>
      </c>
      <c r="G62" s="21">
        <v>10.0</v>
      </c>
      <c r="H62" s="22">
        <v>96.9</v>
      </c>
    </row>
    <row r="63">
      <c r="A63" s="19">
        <v>62.0</v>
      </c>
      <c r="B63" s="19">
        <v>60.0</v>
      </c>
      <c r="C63" s="19">
        <v>63.0</v>
      </c>
      <c r="D63" s="19" t="s">
        <v>148</v>
      </c>
      <c r="E63" s="19" t="s">
        <v>112</v>
      </c>
      <c r="F63" s="19" t="s">
        <v>19</v>
      </c>
      <c r="G63" s="21">
        <v>7.0</v>
      </c>
      <c r="H63" s="22">
        <v>88.8</v>
      </c>
    </row>
    <row r="64">
      <c r="A64" s="19">
        <v>63.0</v>
      </c>
      <c r="B64" s="19">
        <v>61.0</v>
      </c>
      <c r="C64" s="19">
        <v>62.0</v>
      </c>
      <c r="D64" s="19" t="s">
        <v>149</v>
      </c>
      <c r="E64" s="19" t="s">
        <v>150</v>
      </c>
      <c r="F64" s="19" t="s">
        <v>32</v>
      </c>
      <c r="G64" s="21">
        <v>11.0</v>
      </c>
      <c r="H64" s="22">
        <v>96.0</v>
      </c>
    </row>
    <row r="65">
      <c r="A65" s="19">
        <v>64.0</v>
      </c>
      <c r="B65" s="19">
        <v>56.0</v>
      </c>
      <c r="C65" s="19">
        <v>64.0</v>
      </c>
      <c r="D65" s="19" t="s">
        <v>151</v>
      </c>
      <c r="E65" s="19" t="s">
        <v>67</v>
      </c>
      <c r="F65" s="19" t="s">
        <v>40</v>
      </c>
      <c r="G65" s="21">
        <v>10.0</v>
      </c>
      <c r="H65" s="22">
        <v>108.6</v>
      </c>
    </row>
    <row r="66">
      <c r="A66" s="19">
        <v>65.0</v>
      </c>
      <c r="B66" s="19">
        <v>64.0</v>
      </c>
      <c r="C66" s="19">
        <v>65.0</v>
      </c>
      <c r="D66" s="19" t="s">
        <v>152</v>
      </c>
      <c r="E66" s="19" t="s">
        <v>153</v>
      </c>
      <c r="F66" s="19" t="s">
        <v>54</v>
      </c>
      <c r="G66" s="21">
        <v>5.0</v>
      </c>
      <c r="H66" s="22">
        <v>86.1</v>
      </c>
    </row>
    <row r="67">
      <c r="A67" s="19">
        <v>66.0</v>
      </c>
      <c r="B67" s="19">
        <v>67.0</v>
      </c>
      <c r="C67" s="19">
        <v>66.0</v>
      </c>
      <c r="D67" s="19" t="s">
        <v>154</v>
      </c>
      <c r="E67" s="19" t="s">
        <v>75</v>
      </c>
      <c r="F67" s="19" t="s">
        <v>40</v>
      </c>
      <c r="G67" s="21">
        <v>11.0</v>
      </c>
      <c r="H67" s="22">
        <v>90.1</v>
      </c>
    </row>
    <row r="68">
      <c r="A68" s="19">
        <v>67.0</v>
      </c>
      <c r="B68" s="19">
        <v>69.0</v>
      </c>
      <c r="C68" s="19">
        <v>67.0</v>
      </c>
      <c r="D68" s="19" t="s">
        <v>155</v>
      </c>
      <c r="E68" s="19" t="s">
        <v>156</v>
      </c>
      <c r="F68" s="19" t="s">
        <v>38</v>
      </c>
      <c r="G68" s="21">
        <v>8.0</v>
      </c>
      <c r="H68" s="22">
        <v>89.7</v>
      </c>
    </row>
    <row r="69">
      <c r="A69" s="19">
        <v>68.0</v>
      </c>
      <c r="B69" s="19">
        <v>62.0</v>
      </c>
      <c r="C69" s="19">
        <v>71.0</v>
      </c>
      <c r="D69" s="19" t="s">
        <v>157</v>
      </c>
      <c r="E69" s="19" t="s">
        <v>158</v>
      </c>
      <c r="F69" s="19" t="s">
        <v>19</v>
      </c>
      <c r="G69" s="21">
        <v>8.0</v>
      </c>
      <c r="H69" s="22">
        <v>89.7</v>
      </c>
    </row>
    <row r="70">
      <c r="A70" s="19">
        <v>69.0</v>
      </c>
      <c r="B70" s="19">
        <v>76.0</v>
      </c>
      <c r="C70" s="19">
        <v>70.0</v>
      </c>
      <c r="D70" s="19" t="s">
        <v>159</v>
      </c>
      <c r="E70" s="19" t="s">
        <v>14</v>
      </c>
      <c r="F70" s="19" t="s">
        <v>40</v>
      </c>
      <c r="G70" s="21">
        <v>12.0</v>
      </c>
      <c r="H70" s="22">
        <v>88.7</v>
      </c>
    </row>
    <row r="71">
      <c r="A71" s="19">
        <v>70.0</v>
      </c>
      <c r="B71" s="19">
        <v>74.0</v>
      </c>
      <c r="C71" s="19">
        <v>68.0</v>
      </c>
      <c r="D71" s="19" t="s">
        <v>160</v>
      </c>
      <c r="E71" s="19" t="s">
        <v>161</v>
      </c>
      <c r="F71" s="19" t="s">
        <v>91</v>
      </c>
      <c r="G71" s="21">
        <v>5.0</v>
      </c>
      <c r="H71" s="22">
        <v>90.6</v>
      </c>
    </row>
    <row r="72">
      <c r="A72" s="19">
        <v>71.0</v>
      </c>
      <c r="B72" s="19">
        <v>71.0</v>
      </c>
      <c r="C72" s="19">
        <v>69.0</v>
      </c>
      <c r="D72" s="19" t="s">
        <v>162</v>
      </c>
      <c r="E72" s="19" t="s">
        <v>18</v>
      </c>
      <c r="F72" s="19" t="s">
        <v>63</v>
      </c>
      <c r="G72" s="21">
        <v>3.0</v>
      </c>
      <c r="H72" s="22">
        <v>91.0</v>
      </c>
    </row>
    <row r="73">
      <c r="A73" s="19">
        <v>72.0</v>
      </c>
      <c r="B73" s="19">
        <v>73.0</v>
      </c>
      <c r="C73" s="19">
        <v>72.0</v>
      </c>
      <c r="D73" s="19" t="s">
        <v>163</v>
      </c>
      <c r="E73" s="19" t="s">
        <v>53</v>
      </c>
      <c r="F73" s="19" t="s">
        <v>32</v>
      </c>
      <c r="G73" s="21">
        <v>12.0</v>
      </c>
      <c r="H73" s="22">
        <v>93.7</v>
      </c>
    </row>
    <row r="74">
      <c r="A74" s="19">
        <v>73.0</v>
      </c>
      <c r="B74" s="19">
        <v>68.0</v>
      </c>
      <c r="C74" s="19">
        <v>75.0</v>
      </c>
      <c r="D74" s="19" t="s">
        <v>164</v>
      </c>
      <c r="E74" s="19" t="s">
        <v>22</v>
      </c>
      <c r="F74" s="19" t="s">
        <v>40</v>
      </c>
      <c r="G74" s="21">
        <v>13.0</v>
      </c>
      <c r="H74" s="22">
        <v>96.5</v>
      </c>
    </row>
    <row r="75">
      <c r="A75" s="19">
        <v>74.0</v>
      </c>
      <c r="B75" s="19">
        <v>72.0</v>
      </c>
      <c r="C75" s="19">
        <v>78.0</v>
      </c>
      <c r="D75" s="19" t="s">
        <v>165</v>
      </c>
      <c r="E75" s="19" t="s">
        <v>166</v>
      </c>
      <c r="F75" s="19" t="s">
        <v>23</v>
      </c>
      <c r="G75" s="21">
        <v>3.0</v>
      </c>
      <c r="H75" s="22">
        <v>96.9</v>
      </c>
    </row>
    <row r="76">
      <c r="A76" s="19">
        <v>75.0</v>
      </c>
      <c r="B76" s="19">
        <v>81.0</v>
      </c>
      <c r="C76" s="19">
        <v>73.0</v>
      </c>
      <c r="D76" s="19" t="s">
        <v>167</v>
      </c>
      <c r="E76" s="19" t="s">
        <v>168</v>
      </c>
      <c r="F76" s="19" t="s">
        <v>40</v>
      </c>
      <c r="G76" s="21">
        <v>14.0</v>
      </c>
      <c r="H76" s="22">
        <v>94.2</v>
      </c>
    </row>
    <row r="77">
      <c r="A77" s="19">
        <v>76.0</v>
      </c>
      <c r="B77" s="19">
        <v>82.0</v>
      </c>
      <c r="C77" s="19">
        <v>74.0</v>
      </c>
      <c r="D77" s="19" t="s">
        <v>169</v>
      </c>
      <c r="E77" s="19" t="s">
        <v>73</v>
      </c>
      <c r="F77" s="19" t="s">
        <v>170</v>
      </c>
      <c r="G77" s="21">
        <v>1.0</v>
      </c>
      <c r="H77" s="22">
        <v>96.4</v>
      </c>
    </row>
    <row r="78">
      <c r="A78" s="19">
        <v>77.0</v>
      </c>
      <c r="B78" s="19">
        <v>84.0</v>
      </c>
      <c r="C78" s="19">
        <v>76.0</v>
      </c>
      <c r="D78" s="19" t="s">
        <v>171</v>
      </c>
      <c r="E78" s="19" t="s">
        <v>57</v>
      </c>
      <c r="F78" s="19" t="s">
        <v>32</v>
      </c>
      <c r="G78" s="21">
        <v>13.0</v>
      </c>
      <c r="H78" s="22">
        <v>91.1</v>
      </c>
    </row>
    <row r="79">
      <c r="A79" s="19">
        <v>78.0</v>
      </c>
      <c r="B79" s="19">
        <v>86.0</v>
      </c>
      <c r="C79" s="19">
        <v>79.0</v>
      </c>
      <c r="D79" s="19" t="s">
        <v>172</v>
      </c>
      <c r="E79" s="19" t="s">
        <v>35</v>
      </c>
      <c r="F79" s="19" t="s">
        <v>32</v>
      </c>
      <c r="G79" s="21">
        <v>14.0</v>
      </c>
      <c r="H79" s="22">
        <v>93.7</v>
      </c>
    </row>
    <row r="80">
      <c r="A80" s="19">
        <v>79.0</v>
      </c>
      <c r="B80" s="19">
        <v>70.0</v>
      </c>
      <c r="C80" s="19">
        <v>81.0</v>
      </c>
      <c r="D80" s="19" t="s">
        <v>174</v>
      </c>
      <c r="E80" s="19" t="s">
        <v>175</v>
      </c>
      <c r="F80" s="19" t="s">
        <v>26</v>
      </c>
      <c r="G80" s="21">
        <v>5.0</v>
      </c>
      <c r="H80" s="22">
        <v>91.9</v>
      </c>
    </row>
    <row r="81">
      <c r="A81" s="19">
        <v>80.0</v>
      </c>
      <c r="B81" s="19">
        <v>90.0</v>
      </c>
      <c r="C81" s="19">
        <v>77.0</v>
      </c>
      <c r="D81" s="19" t="s">
        <v>176</v>
      </c>
      <c r="E81" s="19" t="s">
        <v>177</v>
      </c>
      <c r="F81" s="19" t="s">
        <v>170</v>
      </c>
      <c r="G81" s="21">
        <v>2.0</v>
      </c>
      <c r="H81" s="22">
        <v>91.5</v>
      </c>
    </row>
    <row r="82">
      <c r="A82" s="19">
        <v>81.0</v>
      </c>
      <c r="B82" s="19">
        <v>85.0</v>
      </c>
      <c r="C82" s="19">
        <v>80.0</v>
      </c>
      <c r="D82" s="19" t="s">
        <v>178</v>
      </c>
      <c r="E82" s="19" t="s">
        <v>18</v>
      </c>
      <c r="F82" s="19" t="s">
        <v>44</v>
      </c>
      <c r="G82" s="21">
        <v>11.0</v>
      </c>
      <c r="H82" s="22">
        <v>97.8</v>
      </c>
    </row>
    <row r="83">
      <c r="A83" s="19">
        <v>82.0</v>
      </c>
      <c r="B83" s="19">
        <v>83.0</v>
      </c>
      <c r="C83" s="19">
        <v>82.0</v>
      </c>
      <c r="D83" s="19" t="s">
        <v>179</v>
      </c>
      <c r="E83" s="19" t="s">
        <v>43</v>
      </c>
      <c r="F83" s="19" t="s">
        <v>15</v>
      </c>
      <c r="G83" s="21">
        <v>3.0</v>
      </c>
      <c r="H83" s="22">
        <v>93.8</v>
      </c>
    </row>
    <row r="84">
      <c r="A84" s="19">
        <v>83.0</v>
      </c>
      <c r="B84" s="19">
        <v>96.0</v>
      </c>
      <c r="C84" s="19">
        <v>83.0</v>
      </c>
      <c r="D84" s="19" t="s">
        <v>180</v>
      </c>
      <c r="E84" s="19" t="s">
        <v>124</v>
      </c>
      <c r="F84" s="19" t="s">
        <v>85</v>
      </c>
      <c r="G84" s="21">
        <v>2.0</v>
      </c>
      <c r="H84" s="22">
        <v>104.6</v>
      </c>
    </row>
    <row r="85">
      <c r="A85" s="19">
        <v>84.0</v>
      </c>
      <c r="B85" s="19">
        <v>94.0</v>
      </c>
      <c r="C85" s="19">
        <v>85.0</v>
      </c>
      <c r="D85" s="19" t="s">
        <v>181</v>
      </c>
      <c r="E85" s="19" t="s">
        <v>182</v>
      </c>
      <c r="F85" s="19" t="s">
        <v>40</v>
      </c>
      <c r="G85" s="21">
        <v>15.0</v>
      </c>
      <c r="H85" s="22">
        <v>100.5</v>
      </c>
    </row>
    <row r="86">
      <c r="A86" s="19">
        <v>85.0</v>
      </c>
      <c r="B86" s="19">
        <v>79.0</v>
      </c>
      <c r="C86" s="19">
        <v>90.0</v>
      </c>
      <c r="D86" s="19" t="s">
        <v>183</v>
      </c>
      <c r="E86" s="19" t="s">
        <v>150</v>
      </c>
      <c r="F86" s="19" t="s">
        <v>32</v>
      </c>
      <c r="G86" s="21">
        <v>15.0</v>
      </c>
      <c r="H86" s="22">
        <v>101.0</v>
      </c>
    </row>
    <row r="87">
      <c r="A87" s="19">
        <v>86.0</v>
      </c>
      <c r="B87" s="19">
        <v>106.0</v>
      </c>
      <c r="C87" s="19">
        <v>84.0</v>
      </c>
      <c r="D87" s="19" t="s">
        <v>184</v>
      </c>
      <c r="E87" s="19" t="s">
        <v>185</v>
      </c>
      <c r="F87" s="19" t="s">
        <v>44</v>
      </c>
      <c r="G87" s="21">
        <v>12.0</v>
      </c>
      <c r="H87" s="22">
        <v>91.5</v>
      </c>
    </row>
    <row r="88">
      <c r="A88" s="19">
        <v>87.0</v>
      </c>
      <c r="B88" s="19">
        <v>91.0</v>
      </c>
      <c r="C88" s="19">
        <v>87.0</v>
      </c>
      <c r="D88" s="19" t="s">
        <v>186</v>
      </c>
      <c r="E88" s="19" t="s">
        <v>187</v>
      </c>
      <c r="F88" s="19" t="s">
        <v>40</v>
      </c>
      <c r="G88" s="21">
        <v>16.0</v>
      </c>
      <c r="H88" s="22">
        <v>87.0</v>
      </c>
    </row>
    <row r="89">
      <c r="A89" s="19">
        <v>88.0</v>
      </c>
      <c r="B89" s="19">
        <v>88.0</v>
      </c>
      <c r="C89" s="19">
        <v>88.0</v>
      </c>
      <c r="D89" s="19" t="s">
        <v>188</v>
      </c>
      <c r="E89" s="19" t="s">
        <v>53</v>
      </c>
      <c r="F89" s="19" t="s">
        <v>26</v>
      </c>
      <c r="G89" s="21">
        <v>6.0</v>
      </c>
      <c r="H89" s="22">
        <v>89.2</v>
      </c>
    </row>
    <row r="90">
      <c r="A90" s="19">
        <v>89.0</v>
      </c>
      <c r="B90" s="19">
        <v>77.0</v>
      </c>
      <c r="C90" s="19">
        <v>89.0</v>
      </c>
      <c r="D90" s="19" t="s">
        <v>189</v>
      </c>
      <c r="E90" s="19" t="s">
        <v>128</v>
      </c>
      <c r="F90" s="19" t="s">
        <v>44</v>
      </c>
      <c r="G90" s="21">
        <v>13.0</v>
      </c>
      <c r="H90" s="22">
        <v>92.4</v>
      </c>
    </row>
    <row r="91">
      <c r="A91" s="19">
        <v>90.0</v>
      </c>
      <c r="B91" s="19">
        <v>80.0</v>
      </c>
      <c r="C91" s="19">
        <v>91.0</v>
      </c>
      <c r="D91" s="19" t="s">
        <v>190</v>
      </c>
      <c r="E91" s="19" t="s">
        <v>73</v>
      </c>
      <c r="F91" s="19" t="s">
        <v>32</v>
      </c>
      <c r="G91" s="21">
        <v>16.0</v>
      </c>
      <c r="H91" s="22">
        <v>99.2</v>
      </c>
    </row>
    <row r="92">
      <c r="A92" s="19">
        <v>91.0</v>
      </c>
      <c r="B92" s="19">
        <v>75.0</v>
      </c>
      <c r="C92" s="19">
        <v>94.0</v>
      </c>
      <c r="D92" s="19" t="s">
        <v>191</v>
      </c>
      <c r="E92" s="19" t="s">
        <v>119</v>
      </c>
      <c r="F92" s="19" t="s">
        <v>26</v>
      </c>
      <c r="G92" s="21">
        <v>7.0</v>
      </c>
      <c r="H92" s="22">
        <v>97.4</v>
      </c>
    </row>
    <row r="93">
      <c r="A93" s="19">
        <v>92.0</v>
      </c>
      <c r="B93" s="19">
        <v>117.0</v>
      </c>
      <c r="C93" s="19">
        <v>86.0</v>
      </c>
      <c r="D93" s="19" t="s">
        <v>192</v>
      </c>
      <c r="E93" s="19" t="s">
        <v>50</v>
      </c>
      <c r="F93" s="19" t="s">
        <v>26</v>
      </c>
      <c r="G93" s="21">
        <v>8.0</v>
      </c>
      <c r="H93" s="22">
        <v>101.0</v>
      </c>
    </row>
    <row r="94">
      <c r="A94" s="19">
        <v>93.0</v>
      </c>
      <c r="B94" s="19">
        <v>100.0</v>
      </c>
      <c r="C94" s="19">
        <v>93.0</v>
      </c>
      <c r="D94" s="19" t="s">
        <v>193</v>
      </c>
      <c r="E94" s="19" t="s">
        <v>107</v>
      </c>
      <c r="F94" s="19" t="s">
        <v>170</v>
      </c>
      <c r="G94" s="21">
        <v>3.0</v>
      </c>
      <c r="H94" s="22">
        <v>101.9</v>
      </c>
    </row>
    <row r="95">
      <c r="A95" s="19">
        <v>94.0</v>
      </c>
      <c r="B95" s="19">
        <v>122.0</v>
      </c>
      <c r="C95" s="19">
        <v>92.0</v>
      </c>
      <c r="D95" s="19" t="s">
        <v>194</v>
      </c>
      <c r="E95" s="19" t="s">
        <v>87</v>
      </c>
      <c r="F95" s="19" t="s">
        <v>23</v>
      </c>
      <c r="G95" s="21">
        <v>4.0</v>
      </c>
      <c r="H95" s="22">
        <v>98.7</v>
      </c>
    </row>
    <row r="96">
      <c r="A96" s="19">
        <v>95.0</v>
      </c>
      <c r="B96" s="19">
        <v>78.0</v>
      </c>
      <c r="C96" s="19">
        <v>97.0</v>
      </c>
      <c r="D96" s="19" t="s">
        <v>196</v>
      </c>
      <c r="E96" s="19" t="s">
        <v>153</v>
      </c>
      <c r="F96" s="19" t="s">
        <v>170</v>
      </c>
      <c r="G96" s="21">
        <v>4.0</v>
      </c>
      <c r="H96" s="22">
        <v>97.3</v>
      </c>
    </row>
    <row r="97">
      <c r="A97" s="19">
        <v>96.0</v>
      </c>
      <c r="B97" s="19">
        <v>87.0</v>
      </c>
      <c r="C97" s="19">
        <v>96.0</v>
      </c>
      <c r="D97" s="19" t="s">
        <v>197</v>
      </c>
      <c r="E97" s="19" t="s">
        <v>124</v>
      </c>
      <c r="F97" s="19" t="s">
        <v>40</v>
      </c>
      <c r="G97" s="21">
        <v>17.0</v>
      </c>
      <c r="H97" s="22">
        <v>88.8</v>
      </c>
    </row>
    <row r="98">
      <c r="A98" s="19">
        <v>97.0</v>
      </c>
      <c r="B98" s="19">
        <v>97.0</v>
      </c>
      <c r="C98" s="19">
        <v>95.0</v>
      </c>
      <c r="D98" s="19" t="s">
        <v>198</v>
      </c>
      <c r="E98" s="19" t="s">
        <v>146</v>
      </c>
      <c r="F98" s="19" t="s">
        <v>26</v>
      </c>
      <c r="G98" s="21">
        <v>9.0</v>
      </c>
      <c r="H98" s="22">
        <v>97.8</v>
      </c>
    </row>
    <row r="99">
      <c r="A99" s="19">
        <v>98.0</v>
      </c>
      <c r="B99" s="19">
        <v>93.0</v>
      </c>
      <c r="C99" s="19">
        <v>98.0</v>
      </c>
      <c r="D99" s="19" t="s">
        <v>199</v>
      </c>
      <c r="E99" s="19" t="s">
        <v>200</v>
      </c>
      <c r="F99" s="19" t="s">
        <v>85</v>
      </c>
      <c r="G99" s="21">
        <v>3.0</v>
      </c>
      <c r="H99" s="22">
        <v>92.4</v>
      </c>
    </row>
    <row r="100">
      <c r="A100" s="19">
        <v>99.0</v>
      </c>
      <c r="B100" s="19">
        <v>89.0</v>
      </c>
      <c r="C100" s="19">
        <v>100.0</v>
      </c>
      <c r="D100" s="19" t="s">
        <v>201</v>
      </c>
      <c r="E100" s="19" t="s">
        <v>202</v>
      </c>
      <c r="F100" s="19" t="s">
        <v>40</v>
      </c>
      <c r="G100" s="21">
        <v>18.0</v>
      </c>
      <c r="H100" s="22">
        <v>119.5</v>
      </c>
    </row>
    <row r="101">
      <c r="A101" s="19">
        <v>100.0</v>
      </c>
      <c r="B101" s="19">
        <v>108.0</v>
      </c>
      <c r="C101" s="19">
        <v>99.0</v>
      </c>
      <c r="D101" s="19" t="s">
        <v>203</v>
      </c>
      <c r="E101" s="19" t="s">
        <v>204</v>
      </c>
      <c r="F101" s="19" t="s">
        <v>23</v>
      </c>
      <c r="G101" s="21">
        <v>5.0</v>
      </c>
      <c r="H101" s="22">
        <v>89.2</v>
      </c>
    </row>
    <row r="102">
      <c r="A102" s="19">
        <v>101.0</v>
      </c>
      <c r="B102" s="19">
        <v>99.0</v>
      </c>
      <c r="C102" s="19">
        <v>103.0</v>
      </c>
      <c r="D102" s="19" t="s">
        <v>205</v>
      </c>
      <c r="E102" s="19" t="s">
        <v>67</v>
      </c>
      <c r="F102" s="19" t="s">
        <v>63</v>
      </c>
      <c r="G102" s="21">
        <v>4.0</v>
      </c>
      <c r="H102" s="22">
        <v>113.2</v>
      </c>
    </row>
    <row r="103">
      <c r="A103" s="19">
        <v>102.0</v>
      </c>
      <c r="B103" s="19">
        <v>101.0</v>
      </c>
      <c r="C103" s="19">
        <v>101.0</v>
      </c>
      <c r="D103" s="19" t="s">
        <v>206</v>
      </c>
      <c r="E103" s="19" t="s">
        <v>67</v>
      </c>
      <c r="F103" s="19" t="s">
        <v>44</v>
      </c>
      <c r="G103" s="21">
        <v>14.0</v>
      </c>
      <c r="H103" s="22">
        <v>102.8</v>
      </c>
    </row>
    <row r="104">
      <c r="A104" s="19">
        <v>103.0</v>
      </c>
      <c r="B104" s="19">
        <v>119.0</v>
      </c>
      <c r="C104" s="19">
        <v>102.0</v>
      </c>
      <c r="D104" s="19" t="s">
        <v>207</v>
      </c>
      <c r="E104" s="19" t="s">
        <v>208</v>
      </c>
      <c r="F104" s="19" t="s">
        <v>63</v>
      </c>
      <c r="G104" s="21">
        <v>5.0</v>
      </c>
      <c r="H104" s="22">
        <v>91.0</v>
      </c>
    </row>
    <row r="105">
      <c r="A105" s="19">
        <v>104.0</v>
      </c>
      <c r="B105" s="19">
        <v>114.0</v>
      </c>
      <c r="C105" s="19">
        <v>104.0</v>
      </c>
      <c r="D105" s="19" t="s">
        <v>209</v>
      </c>
      <c r="E105" s="19" t="s">
        <v>166</v>
      </c>
      <c r="F105" s="19" t="s">
        <v>44</v>
      </c>
      <c r="G105" s="21">
        <v>15.0</v>
      </c>
      <c r="H105" s="22">
        <v>97.3</v>
      </c>
    </row>
    <row r="106">
      <c r="A106" s="19">
        <v>105.0</v>
      </c>
      <c r="B106" s="19">
        <v>103.0</v>
      </c>
      <c r="C106" s="19">
        <v>106.0</v>
      </c>
      <c r="D106" s="19" t="s">
        <v>210</v>
      </c>
      <c r="E106" s="19" t="s">
        <v>107</v>
      </c>
      <c r="F106" s="19" t="s">
        <v>38</v>
      </c>
      <c r="G106" s="21">
        <v>9.0</v>
      </c>
      <c r="H106" s="22">
        <v>94.6</v>
      </c>
    </row>
    <row r="107">
      <c r="A107" s="19">
        <v>106.0</v>
      </c>
      <c r="B107" s="19">
        <v>95.0</v>
      </c>
      <c r="C107" s="19">
        <v>105.0</v>
      </c>
      <c r="D107" s="19" t="s">
        <v>211</v>
      </c>
      <c r="E107" s="19" t="s">
        <v>212</v>
      </c>
      <c r="F107" s="19" t="s">
        <v>54</v>
      </c>
      <c r="G107" s="21">
        <v>6.0</v>
      </c>
      <c r="H107" s="22">
        <v>88.8</v>
      </c>
    </row>
    <row r="108">
      <c r="A108" s="19">
        <v>107.0</v>
      </c>
      <c r="B108" s="19">
        <v>113.0</v>
      </c>
      <c r="C108" s="19">
        <v>107.0</v>
      </c>
      <c r="D108" s="19" t="s">
        <v>213</v>
      </c>
      <c r="E108" s="19" t="s">
        <v>107</v>
      </c>
      <c r="F108" s="19" t="s">
        <v>44</v>
      </c>
      <c r="G108" s="21">
        <v>16.0</v>
      </c>
      <c r="H108" s="22">
        <v>89.2</v>
      </c>
    </row>
    <row r="109">
      <c r="A109" s="19">
        <v>108.0</v>
      </c>
      <c r="B109" s="19">
        <v>104.0</v>
      </c>
      <c r="C109" s="19">
        <v>111.0</v>
      </c>
      <c r="D109" s="19" t="s">
        <v>214</v>
      </c>
      <c r="E109" s="19" t="s">
        <v>112</v>
      </c>
      <c r="F109" s="19" t="s">
        <v>85</v>
      </c>
      <c r="G109" s="21">
        <v>4.0</v>
      </c>
      <c r="H109" s="22">
        <v>101.9</v>
      </c>
    </row>
    <row r="110">
      <c r="A110" s="19">
        <v>109.0</v>
      </c>
      <c r="B110" s="19">
        <v>98.0</v>
      </c>
      <c r="C110" s="19">
        <v>113.0</v>
      </c>
      <c r="D110" s="19" t="s">
        <v>215</v>
      </c>
      <c r="E110" s="19" t="s">
        <v>216</v>
      </c>
      <c r="F110" s="19" t="s">
        <v>40</v>
      </c>
      <c r="G110" s="21">
        <v>19.0</v>
      </c>
      <c r="H110" s="22">
        <v>101.0</v>
      </c>
    </row>
    <row r="111">
      <c r="A111" s="19">
        <v>110.0</v>
      </c>
      <c r="B111" s="19">
        <v>92.0</v>
      </c>
      <c r="C111" s="19">
        <v>118.0</v>
      </c>
      <c r="D111" s="19" t="s">
        <v>217</v>
      </c>
      <c r="E111" s="19" t="s">
        <v>80</v>
      </c>
      <c r="F111" s="19" t="s">
        <v>170</v>
      </c>
      <c r="G111" s="21">
        <v>5.0</v>
      </c>
      <c r="H111" s="22">
        <v>97.8</v>
      </c>
    </row>
    <row r="112">
      <c r="A112" s="19">
        <v>111.0</v>
      </c>
      <c r="B112" s="19">
        <v>105.0</v>
      </c>
      <c r="C112" s="19">
        <v>110.0</v>
      </c>
      <c r="D112" s="19" t="s">
        <v>218</v>
      </c>
      <c r="E112" s="19" t="s">
        <v>185</v>
      </c>
      <c r="F112" s="19" t="s">
        <v>170</v>
      </c>
      <c r="G112" s="21">
        <v>6.0</v>
      </c>
      <c r="H112" s="22">
        <v>87.4</v>
      </c>
    </row>
    <row r="113">
      <c r="A113" s="19">
        <v>112.0</v>
      </c>
      <c r="B113" s="19">
        <v>107.0</v>
      </c>
      <c r="C113" s="19">
        <v>108.0</v>
      </c>
      <c r="D113" s="19" t="s">
        <v>219</v>
      </c>
      <c r="E113" s="19" t="s">
        <v>70</v>
      </c>
      <c r="F113" s="19" t="s">
        <v>32</v>
      </c>
      <c r="G113" s="21">
        <v>17.0</v>
      </c>
      <c r="H113" s="22">
        <v>100.5</v>
      </c>
    </row>
    <row r="114">
      <c r="A114" s="19">
        <v>113.0</v>
      </c>
      <c r="B114" s="19">
        <v>109.0</v>
      </c>
      <c r="C114" s="19">
        <v>109.0</v>
      </c>
      <c r="D114" s="19" t="s">
        <v>220</v>
      </c>
      <c r="E114" s="19" t="s">
        <v>50</v>
      </c>
      <c r="F114" s="19" t="s">
        <v>40</v>
      </c>
      <c r="G114" s="21">
        <v>20.0</v>
      </c>
      <c r="H114" s="22">
        <v>105.5</v>
      </c>
    </row>
    <row r="115">
      <c r="A115" s="19">
        <v>114.0</v>
      </c>
      <c r="B115" s="19">
        <v>102.0</v>
      </c>
      <c r="C115" s="19">
        <v>120.0</v>
      </c>
      <c r="D115" s="19" t="s">
        <v>221</v>
      </c>
      <c r="E115" s="19" t="s">
        <v>31</v>
      </c>
      <c r="F115" s="19" t="s">
        <v>15</v>
      </c>
      <c r="G115" s="21">
        <v>4.0</v>
      </c>
      <c r="H115" s="22">
        <v>92.8</v>
      </c>
    </row>
    <row r="116">
      <c r="A116" s="19">
        <v>115.0</v>
      </c>
      <c r="B116" s="19">
        <v>110.0</v>
      </c>
      <c r="C116" s="19">
        <v>112.0</v>
      </c>
      <c r="D116" s="19" t="s">
        <v>222</v>
      </c>
      <c r="E116" s="19" t="s">
        <v>223</v>
      </c>
      <c r="F116" s="19" t="s">
        <v>63</v>
      </c>
      <c r="G116" s="21">
        <v>6.0</v>
      </c>
      <c r="H116" s="22">
        <v>82.9</v>
      </c>
    </row>
    <row r="117">
      <c r="A117" s="19">
        <v>116.0</v>
      </c>
      <c r="B117" s="19">
        <v>124.0</v>
      </c>
      <c r="C117" s="19">
        <v>114.0</v>
      </c>
      <c r="D117" s="19" t="s">
        <v>224</v>
      </c>
      <c r="E117" s="19" t="s">
        <v>31</v>
      </c>
      <c r="F117" s="19" t="s">
        <v>38</v>
      </c>
      <c r="G117" s="21">
        <v>10.0</v>
      </c>
      <c r="H117" s="22">
        <v>107.3</v>
      </c>
    </row>
    <row r="118">
      <c r="A118" s="19">
        <v>117.0</v>
      </c>
      <c r="B118" s="19">
        <v>137.0</v>
      </c>
      <c r="C118" s="19">
        <v>115.0</v>
      </c>
      <c r="D118" s="19" t="s">
        <v>225</v>
      </c>
      <c r="E118" s="19" t="s">
        <v>70</v>
      </c>
      <c r="F118" s="19" t="s">
        <v>19</v>
      </c>
      <c r="G118" s="21">
        <v>9.0</v>
      </c>
      <c r="H118" s="22">
        <v>116.8</v>
      </c>
    </row>
    <row r="119">
      <c r="A119" s="19">
        <v>118.0</v>
      </c>
      <c r="B119" s="19">
        <v>118.0</v>
      </c>
      <c r="C119" s="19">
        <v>116.0</v>
      </c>
      <c r="D119" s="19" t="s">
        <v>226</v>
      </c>
      <c r="E119" s="19" t="s">
        <v>227</v>
      </c>
      <c r="F119" s="19" t="s">
        <v>63</v>
      </c>
      <c r="G119" s="21">
        <v>7.0</v>
      </c>
      <c r="H119" s="22">
        <v>101.0</v>
      </c>
    </row>
    <row r="120">
      <c r="A120" s="19">
        <v>119.0</v>
      </c>
      <c r="B120" s="19">
        <v>111.0</v>
      </c>
      <c r="C120" s="19">
        <v>117.0</v>
      </c>
      <c r="D120" s="19" t="s">
        <v>228</v>
      </c>
      <c r="E120" s="19" t="s">
        <v>80</v>
      </c>
      <c r="F120" s="19" t="s">
        <v>44</v>
      </c>
      <c r="G120" s="21">
        <v>17.0</v>
      </c>
      <c r="H120" s="22">
        <v>83.8</v>
      </c>
    </row>
    <row r="121">
      <c r="A121" s="19">
        <v>120.0</v>
      </c>
      <c r="B121" s="19">
        <v>112.0</v>
      </c>
      <c r="C121" s="19">
        <v>119.0</v>
      </c>
      <c r="D121" s="19" t="s">
        <v>229</v>
      </c>
      <c r="E121" s="19" t="s">
        <v>87</v>
      </c>
      <c r="F121" s="19" t="s">
        <v>44</v>
      </c>
      <c r="G121" s="21">
        <v>18.0</v>
      </c>
      <c r="H121" s="22">
        <v>96.9</v>
      </c>
    </row>
    <row r="122">
      <c r="A122" s="19">
        <v>121.0</v>
      </c>
      <c r="B122" s="19">
        <v>120.0</v>
      </c>
      <c r="C122" s="19">
        <v>122.0</v>
      </c>
      <c r="D122" s="19" t="s">
        <v>230</v>
      </c>
      <c r="E122" s="19" t="s">
        <v>53</v>
      </c>
      <c r="F122" s="19" t="s">
        <v>15</v>
      </c>
      <c r="G122" s="21">
        <v>5.0</v>
      </c>
      <c r="H122" s="22">
        <v>91.9</v>
      </c>
    </row>
    <row r="123">
      <c r="A123" s="19">
        <v>122.0</v>
      </c>
      <c r="B123" s="19">
        <v>144.0</v>
      </c>
      <c r="C123" s="19">
        <v>123.0</v>
      </c>
      <c r="D123" s="19" t="s">
        <v>231</v>
      </c>
      <c r="E123" s="19" t="s">
        <v>177</v>
      </c>
      <c r="F123" s="19" t="s">
        <v>26</v>
      </c>
      <c r="G123" s="21">
        <v>10.0</v>
      </c>
      <c r="H123" s="22">
        <v>106.8</v>
      </c>
    </row>
    <row r="124">
      <c r="A124" s="19">
        <v>123.0</v>
      </c>
      <c r="B124" s="19">
        <v>129.0</v>
      </c>
      <c r="C124" s="19">
        <v>126.0</v>
      </c>
      <c r="D124" s="19" t="s">
        <v>232</v>
      </c>
      <c r="E124" s="19" t="s">
        <v>233</v>
      </c>
      <c r="F124" s="19" t="s">
        <v>234</v>
      </c>
      <c r="G124" s="21">
        <v>1.0</v>
      </c>
      <c r="H124" s="22">
        <v>104.6</v>
      </c>
    </row>
    <row r="125">
      <c r="A125" s="19">
        <v>124.0</v>
      </c>
      <c r="B125" s="19">
        <v>116.0</v>
      </c>
      <c r="C125" s="19">
        <v>128.0</v>
      </c>
      <c r="D125" s="19" t="s">
        <v>235</v>
      </c>
      <c r="E125" s="19" t="s">
        <v>80</v>
      </c>
      <c r="F125" s="19" t="s">
        <v>38</v>
      </c>
      <c r="G125" s="21">
        <v>11.0</v>
      </c>
      <c r="H125" s="22">
        <v>94.2</v>
      </c>
    </row>
    <row r="126">
      <c r="A126" s="19">
        <v>125.0</v>
      </c>
      <c r="B126" s="19">
        <v>140.0</v>
      </c>
      <c r="C126" s="19">
        <v>125.0</v>
      </c>
      <c r="D126" s="19" t="s">
        <v>236</v>
      </c>
      <c r="E126" s="19" t="s">
        <v>22</v>
      </c>
      <c r="F126" s="19" t="s">
        <v>54</v>
      </c>
      <c r="G126" s="21">
        <v>7.0</v>
      </c>
      <c r="H126" s="22">
        <v>83.4</v>
      </c>
    </row>
    <row r="127">
      <c r="A127" s="19">
        <v>126.0</v>
      </c>
      <c r="B127" s="19">
        <v>142.0</v>
      </c>
      <c r="C127" s="19">
        <v>121.0</v>
      </c>
      <c r="D127" s="19" t="s">
        <v>237</v>
      </c>
      <c r="E127" s="19" t="s">
        <v>22</v>
      </c>
      <c r="F127" s="19" t="s">
        <v>63</v>
      </c>
      <c r="G127" s="21">
        <v>8.0</v>
      </c>
      <c r="H127" s="22">
        <v>95.6</v>
      </c>
    </row>
    <row r="128">
      <c r="A128" s="19">
        <v>127.0</v>
      </c>
      <c r="B128" s="19">
        <v>127.0</v>
      </c>
      <c r="C128" s="19">
        <v>124.0</v>
      </c>
      <c r="D128" s="19" t="s">
        <v>238</v>
      </c>
      <c r="E128" s="19" t="s">
        <v>187</v>
      </c>
      <c r="F128" s="19" t="s">
        <v>15</v>
      </c>
      <c r="G128" s="21">
        <v>6.0</v>
      </c>
      <c r="H128" s="22">
        <v>101.0</v>
      </c>
    </row>
    <row r="129">
      <c r="A129" s="19">
        <v>128.0</v>
      </c>
      <c r="B129" s="19">
        <v>158.0</v>
      </c>
      <c r="C129" s="19">
        <v>127.0</v>
      </c>
      <c r="D129" s="19" t="s">
        <v>239</v>
      </c>
      <c r="E129" s="19" t="s">
        <v>128</v>
      </c>
      <c r="F129" s="19" t="s">
        <v>63</v>
      </c>
      <c r="G129" s="21">
        <v>9.0</v>
      </c>
      <c r="H129" s="22">
        <v>101.4</v>
      </c>
    </row>
    <row r="130">
      <c r="A130" s="19">
        <v>129.0</v>
      </c>
      <c r="B130" s="19">
        <v>125.0</v>
      </c>
      <c r="C130" s="19">
        <v>135.0</v>
      </c>
      <c r="D130" s="19" t="s">
        <v>240</v>
      </c>
      <c r="E130" s="19" t="s">
        <v>80</v>
      </c>
      <c r="F130" s="19" t="s">
        <v>234</v>
      </c>
      <c r="G130" s="21">
        <v>2.0</v>
      </c>
      <c r="H130" s="22">
        <v>116.3</v>
      </c>
    </row>
    <row r="131">
      <c r="A131" s="19">
        <v>130.0</v>
      </c>
      <c r="B131" s="19">
        <v>135.0</v>
      </c>
      <c r="C131" s="19">
        <v>129.0</v>
      </c>
      <c r="D131" s="19" t="s">
        <v>241</v>
      </c>
      <c r="E131" s="19" t="s">
        <v>53</v>
      </c>
      <c r="F131" s="19" t="s">
        <v>23</v>
      </c>
      <c r="G131" s="21">
        <v>6.0</v>
      </c>
      <c r="H131" s="22">
        <v>81.1</v>
      </c>
    </row>
    <row r="132">
      <c r="A132" s="19">
        <v>131.0</v>
      </c>
      <c r="B132" s="19">
        <v>115.0</v>
      </c>
      <c r="C132" s="19">
        <v>131.0</v>
      </c>
      <c r="D132" s="19" t="s">
        <v>242</v>
      </c>
      <c r="E132" s="19" t="s">
        <v>243</v>
      </c>
      <c r="F132" s="19" t="s">
        <v>54</v>
      </c>
      <c r="G132" s="21">
        <v>8.0</v>
      </c>
      <c r="H132" s="22">
        <v>84.2</v>
      </c>
    </row>
    <row r="133">
      <c r="A133" s="19">
        <v>132.0</v>
      </c>
      <c r="B133" s="19">
        <v>134.0</v>
      </c>
      <c r="C133" s="19">
        <v>130.0</v>
      </c>
      <c r="D133" s="19" t="s">
        <v>244</v>
      </c>
      <c r="E133" s="19" t="s">
        <v>245</v>
      </c>
      <c r="F133" s="19" t="s">
        <v>38</v>
      </c>
      <c r="G133" s="21">
        <v>12.0</v>
      </c>
      <c r="H133" s="22">
        <v>78.4</v>
      </c>
    </row>
    <row r="134">
      <c r="A134" s="19">
        <v>133.0</v>
      </c>
      <c r="B134" s="19">
        <v>126.0</v>
      </c>
      <c r="C134" s="19">
        <v>136.0</v>
      </c>
      <c r="D134" s="19" t="s">
        <v>246</v>
      </c>
      <c r="E134" s="19" t="s">
        <v>53</v>
      </c>
      <c r="F134" s="19" t="s">
        <v>23</v>
      </c>
      <c r="G134" s="21">
        <v>7.0</v>
      </c>
      <c r="H134" s="22">
        <v>82.9</v>
      </c>
    </row>
    <row r="135">
      <c r="A135" s="19">
        <v>134.0</v>
      </c>
      <c r="B135" s="19">
        <v>155.0</v>
      </c>
      <c r="C135" s="19">
        <v>132.0</v>
      </c>
      <c r="D135" s="19" t="s">
        <v>247</v>
      </c>
      <c r="E135" s="19" t="s">
        <v>59</v>
      </c>
      <c r="F135" s="19" t="s">
        <v>19</v>
      </c>
      <c r="G135" s="21">
        <v>10.0</v>
      </c>
      <c r="H135" s="22">
        <v>108.7</v>
      </c>
    </row>
    <row r="136">
      <c r="A136" s="19">
        <v>135.0</v>
      </c>
      <c r="B136" s="19">
        <v>151.0</v>
      </c>
      <c r="C136" s="19">
        <v>137.0</v>
      </c>
      <c r="D136" s="19" t="s">
        <v>248</v>
      </c>
      <c r="E136" s="19" t="s">
        <v>153</v>
      </c>
      <c r="F136" s="19" t="s">
        <v>32</v>
      </c>
      <c r="G136" s="21">
        <v>18.0</v>
      </c>
      <c r="H136" s="22">
        <v>81.1</v>
      </c>
    </row>
    <row r="137">
      <c r="A137" s="19">
        <v>136.0</v>
      </c>
      <c r="B137" s="19">
        <v>139.0</v>
      </c>
      <c r="C137" s="19">
        <v>138.0</v>
      </c>
      <c r="D137" s="19" t="s">
        <v>249</v>
      </c>
      <c r="E137" s="19" t="s">
        <v>250</v>
      </c>
      <c r="F137" s="19" t="s">
        <v>38</v>
      </c>
      <c r="G137" s="21">
        <v>13.0</v>
      </c>
      <c r="H137" s="22">
        <v>146.2</v>
      </c>
    </row>
    <row r="138">
      <c r="A138" s="19">
        <v>137.0</v>
      </c>
      <c r="B138" s="19">
        <v>123.0</v>
      </c>
      <c r="C138" s="19">
        <v>140.0</v>
      </c>
      <c r="D138" s="19" t="s">
        <v>251</v>
      </c>
      <c r="E138" s="19" t="s">
        <v>150</v>
      </c>
      <c r="F138" s="19" t="s">
        <v>85</v>
      </c>
      <c r="G138" s="21">
        <v>5.0</v>
      </c>
      <c r="H138" s="22">
        <v>96.9</v>
      </c>
    </row>
    <row r="139">
      <c r="A139" s="19">
        <v>138.0</v>
      </c>
      <c r="B139" s="19">
        <v>141.0</v>
      </c>
      <c r="C139" s="19">
        <v>139.0</v>
      </c>
      <c r="D139" s="19" t="s">
        <v>252</v>
      </c>
      <c r="E139" s="19" t="s">
        <v>175</v>
      </c>
      <c r="F139" s="19" t="s">
        <v>19</v>
      </c>
      <c r="G139" s="21">
        <v>11.0</v>
      </c>
      <c r="H139" s="22">
        <v>100.5</v>
      </c>
    </row>
    <row r="140">
      <c r="A140" s="19">
        <v>139.0</v>
      </c>
      <c r="B140" s="19">
        <v>121.0</v>
      </c>
      <c r="C140" s="19">
        <v>146.0</v>
      </c>
      <c r="D140" s="19" t="s">
        <v>253</v>
      </c>
      <c r="E140" s="19" t="s">
        <v>43</v>
      </c>
      <c r="F140" s="19" t="s">
        <v>19</v>
      </c>
      <c r="G140" s="21">
        <v>12.0</v>
      </c>
      <c r="H140" s="22">
        <v>88.8</v>
      </c>
    </row>
    <row r="141">
      <c r="A141" s="19">
        <v>140.0</v>
      </c>
      <c r="B141" s="19">
        <v>128.0</v>
      </c>
      <c r="C141" s="19">
        <v>141.0</v>
      </c>
      <c r="D141" s="19" t="s">
        <v>254</v>
      </c>
      <c r="E141" s="19" t="s">
        <v>53</v>
      </c>
      <c r="F141" s="19" t="s">
        <v>85</v>
      </c>
      <c r="G141" s="21">
        <v>6.0</v>
      </c>
      <c r="H141" s="22">
        <v>97.8</v>
      </c>
    </row>
    <row r="142">
      <c r="A142" s="19">
        <v>141.0</v>
      </c>
      <c r="B142" s="19">
        <v>177.0</v>
      </c>
      <c r="C142" s="19">
        <v>134.0</v>
      </c>
      <c r="D142" s="19" t="s">
        <v>255</v>
      </c>
      <c r="E142" s="19" t="s">
        <v>87</v>
      </c>
      <c r="F142" s="19" t="s">
        <v>44</v>
      </c>
      <c r="G142" s="21">
        <v>19.0</v>
      </c>
      <c r="H142" s="22">
        <v>94.6</v>
      </c>
    </row>
    <row r="143">
      <c r="A143" s="19">
        <v>142.0</v>
      </c>
      <c r="B143" s="19">
        <v>163.0</v>
      </c>
      <c r="C143" s="19">
        <v>133.0</v>
      </c>
      <c r="D143" s="19" t="s">
        <v>256</v>
      </c>
      <c r="E143" s="19" t="s">
        <v>133</v>
      </c>
      <c r="F143" s="19" t="s">
        <v>91</v>
      </c>
      <c r="G143" s="21">
        <v>6.0</v>
      </c>
      <c r="H143" s="22">
        <v>109.1</v>
      </c>
    </row>
    <row r="144">
      <c r="A144" s="19">
        <v>143.0</v>
      </c>
      <c r="B144" s="19">
        <v>162.0</v>
      </c>
      <c r="C144" s="19">
        <v>142.0</v>
      </c>
      <c r="D144" s="19" t="s">
        <v>257</v>
      </c>
      <c r="E144" s="19" t="s">
        <v>62</v>
      </c>
      <c r="F144" s="19" t="s">
        <v>44</v>
      </c>
      <c r="G144" s="21">
        <v>20.0</v>
      </c>
      <c r="H144" s="22">
        <v>94.6</v>
      </c>
    </row>
    <row r="145">
      <c r="A145" s="19">
        <v>144.0</v>
      </c>
      <c r="B145" s="19">
        <v>154.0</v>
      </c>
      <c r="C145" s="19">
        <v>148.0</v>
      </c>
      <c r="D145" s="19" t="s">
        <v>258</v>
      </c>
      <c r="E145" s="19" t="s">
        <v>259</v>
      </c>
      <c r="F145" s="19" t="s">
        <v>23</v>
      </c>
      <c r="G145" s="21">
        <v>8.0</v>
      </c>
      <c r="H145" s="22">
        <v>84.7</v>
      </c>
    </row>
    <row r="146">
      <c r="A146" s="19">
        <v>145.0</v>
      </c>
      <c r="B146" s="19">
        <v>181.0</v>
      </c>
      <c r="C146" s="19">
        <v>155.0</v>
      </c>
      <c r="D146" s="19" t="s">
        <v>260</v>
      </c>
      <c r="E146" s="19" t="s">
        <v>128</v>
      </c>
      <c r="F146" s="19" t="s">
        <v>26</v>
      </c>
      <c r="G146" s="21">
        <v>11.0</v>
      </c>
      <c r="H146" s="22">
        <v>86.1</v>
      </c>
    </row>
    <row r="147">
      <c r="A147" s="19">
        <v>146.0</v>
      </c>
      <c r="B147" s="19">
        <v>145.0</v>
      </c>
      <c r="C147" s="19">
        <v>147.0</v>
      </c>
      <c r="D147" s="19" t="s">
        <v>261</v>
      </c>
      <c r="E147" s="19" t="s">
        <v>153</v>
      </c>
      <c r="F147" s="19" t="s">
        <v>54</v>
      </c>
      <c r="G147" s="21">
        <v>9.0</v>
      </c>
      <c r="H147" s="22">
        <v>89.7</v>
      </c>
    </row>
    <row r="148">
      <c r="A148" s="19">
        <v>147.0</v>
      </c>
      <c r="B148" s="19">
        <v>131.0</v>
      </c>
      <c r="C148" s="19">
        <v>145.0</v>
      </c>
      <c r="D148" s="19" t="s">
        <v>262</v>
      </c>
      <c r="E148" s="19" t="s">
        <v>62</v>
      </c>
      <c r="F148" s="19" t="s">
        <v>19</v>
      </c>
      <c r="G148" s="21">
        <v>13.0</v>
      </c>
      <c r="H148" s="22">
        <v>91.0</v>
      </c>
    </row>
    <row r="149">
      <c r="A149" s="19">
        <v>148.0</v>
      </c>
      <c r="B149" s="19">
        <v>132.0</v>
      </c>
      <c r="C149" s="19">
        <v>153.0</v>
      </c>
      <c r="D149" s="19" t="s">
        <v>263</v>
      </c>
      <c r="E149" s="19" t="s">
        <v>166</v>
      </c>
      <c r="F149" s="19" t="s">
        <v>15</v>
      </c>
      <c r="G149" s="21">
        <v>7.0</v>
      </c>
      <c r="H149" s="22">
        <v>105.0</v>
      </c>
    </row>
    <row r="150">
      <c r="A150" s="19">
        <v>149.0</v>
      </c>
      <c r="B150" s="19">
        <v>165.0</v>
      </c>
      <c r="C150" s="19">
        <v>157.0</v>
      </c>
      <c r="D150" s="19" t="s">
        <v>264</v>
      </c>
      <c r="E150" s="19" t="s">
        <v>14</v>
      </c>
      <c r="F150" s="19" t="s">
        <v>19</v>
      </c>
      <c r="G150" s="21">
        <v>14.0</v>
      </c>
      <c r="H150" s="22">
        <v>90.6</v>
      </c>
    </row>
    <row r="151">
      <c r="A151" s="19">
        <v>150.0</v>
      </c>
      <c r="B151" s="19">
        <v>169.0</v>
      </c>
      <c r="C151" s="19">
        <v>165.0</v>
      </c>
      <c r="D151" s="19" t="s">
        <v>265</v>
      </c>
      <c r="E151" s="19" t="s">
        <v>80</v>
      </c>
      <c r="F151" s="19" t="s">
        <v>85</v>
      </c>
      <c r="G151" s="21">
        <v>7.0</v>
      </c>
      <c r="H151" s="22">
        <v>88.8</v>
      </c>
    </row>
    <row r="152">
      <c r="A152" s="19">
        <v>151.0</v>
      </c>
      <c r="B152" s="19">
        <v>160.0</v>
      </c>
      <c r="C152" s="19">
        <v>149.0</v>
      </c>
      <c r="D152" s="19" t="s">
        <v>266</v>
      </c>
      <c r="E152" s="19" t="s">
        <v>267</v>
      </c>
      <c r="F152" s="19" t="s">
        <v>44</v>
      </c>
      <c r="G152" s="21">
        <v>21.0</v>
      </c>
      <c r="H152" s="22">
        <v>89.2</v>
      </c>
    </row>
    <row r="153">
      <c r="A153" s="19">
        <v>152.0</v>
      </c>
      <c r="B153" s="19">
        <v>150.0</v>
      </c>
      <c r="C153" s="19">
        <v>151.0</v>
      </c>
      <c r="D153" s="19" t="s">
        <v>268</v>
      </c>
      <c r="E153" s="19" t="s">
        <v>112</v>
      </c>
      <c r="F153" s="19" t="s">
        <v>40</v>
      </c>
      <c r="G153" s="21">
        <v>21.0</v>
      </c>
      <c r="H153" s="22">
        <v>82.9</v>
      </c>
    </row>
    <row r="154">
      <c r="A154" s="19">
        <v>153.0</v>
      </c>
      <c r="B154" s="19">
        <v>189.0</v>
      </c>
      <c r="C154" s="19">
        <v>152.0</v>
      </c>
      <c r="D154" s="19" t="s">
        <v>269</v>
      </c>
      <c r="E154" s="19" t="s">
        <v>270</v>
      </c>
      <c r="F154" s="19" t="s">
        <v>63</v>
      </c>
      <c r="G154" s="21">
        <v>10.0</v>
      </c>
      <c r="H154" s="22">
        <v>94.2</v>
      </c>
    </row>
    <row r="155">
      <c r="A155" s="19">
        <v>154.0</v>
      </c>
      <c r="B155" s="19">
        <v>187.0</v>
      </c>
      <c r="C155" s="19">
        <v>150.0</v>
      </c>
      <c r="D155" s="19" t="s">
        <v>271</v>
      </c>
      <c r="E155" s="19" t="s">
        <v>130</v>
      </c>
      <c r="F155" s="19" t="s">
        <v>38</v>
      </c>
      <c r="G155" s="21">
        <v>14.0</v>
      </c>
      <c r="H155" s="22">
        <v>90.6</v>
      </c>
    </row>
    <row r="156">
      <c r="A156" s="19">
        <v>155.0</v>
      </c>
      <c r="B156" s="19">
        <v>138.0</v>
      </c>
      <c r="C156" s="19">
        <v>156.0</v>
      </c>
      <c r="D156" s="19" t="s">
        <v>272</v>
      </c>
      <c r="E156" s="19" t="s">
        <v>202</v>
      </c>
      <c r="F156" s="19" t="s">
        <v>91</v>
      </c>
      <c r="G156" s="21">
        <v>7.0</v>
      </c>
      <c r="H156" s="22">
        <v>99.6</v>
      </c>
    </row>
    <row r="157">
      <c r="A157" s="19">
        <v>156.0</v>
      </c>
      <c r="B157" s="19">
        <v>143.0</v>
      </c>
      <c r="C157" s="19">
        <v>163.0</v>
      </c>
      <c r="D157" s="19" t="s">
        <v>273</v>
      </c>
      <c r="E157" s="19" t="s">
        <v>53</v>
      </c>
      <c r="F157" s="19" t="s">
        <v>38</v>
      </c>
      <c r="G157" s="21">
        <v>15.0</v>
      </c>
      <c r="H157" s="22">
        <v>88.3</v>
      </c>
    </row>
    <row r="158">
      <c r="A158" s="19">
        <v>157.0</v>
      </c>
      <c r="B158" s="19">
        <v>157.0</v>
      </c>
      <c r="C158" s="19">
        <v>158.0</v>
      </c>
      <c r="D158" s="19" t="s">
        <v>274</v>
      </c>
      <c r="E158" s="19" t="s">
        <v>62</v>
      </c>
      <c r="F158" s="19" t="s">
        <v>38</v>
      </c>
      <c r="G158" s="21">
        <v>16.0</v>
      </c>
      <c r="H158" s="22">
        <v>105.0</v>
      </c>
    </row>
    <row r="159">
      <c r="A159" s="19">
        <v>158.0</v>
      </c>
      <c r="B159" s="19">
        <v>168.0</v>
      </c>
      <c r="C159" s="19">
        <v>171.0</v>
      </c>
      <c r="D159" s="19" t="s">
        <v>275</v>
      </c>
      <c r="E159" s="19" t="s">
        <v>150</v>
      </c>
      <c r="F159" s="19" t="s">
        <v>63</v>
      </c>
      <c r="G159" s="21">
        <v>11.0</v>
      </c>
      <c r="H159" s="22">
        <v>94.6</v>
      </c>
    </row>
    <row r="160">
      <c r="A160" s="19">
        <v>159.0</v>
      </c>
      <c r="B160" s="19">
        <v>133.0</v>
      </c>
      <c r="C160" s="19">
        <v>160.0</v>
      </c>
      <c r="D160" s="19" t="s">
        <v>276</v>
      </c>
      <c r="E160" s="19" t="s">
        <v>227</v>
      </c>
      <c r="F160" s="19" t="s">
        <v>40</v>
      </c>
      <c r="G160" s="21">
        <v>22.0</v>
      </c>
      <c r="H160" s="22">
        <v>96.9</v>
      </c>
    </row>
    <row r="161">
      <c r="A161" s="19">
        <v>160.0</v>
      </c>
      <c r="B161" s="19">
        <v>208.0</v>
      </c>
      <c r="C161" s="19">
        <v>143.0</v>
      </c>
      <c r="D161" s="19" t="s">
        <v>277</v>
      </c>
      <c r="E161" s="19" t="s">
        <v>50</v>
      </c>
      <c r="F161" s="19" t="s">
        <v>32</v>
      </c>
      <c r="G161" s="21">
        <v>19.0</v>
      </c>
      <c r="H161" s="22">
        <v>107.3</v>
      </c>
    </row>
    <row r="162">
      <c r="A162" s="19">
        <v>161.0</v>
      </c>
      <c r="B162" s="19">
        <v>161.0</v>
      </c>
      <c r="C162" s="19">
        <v>167.0</v>
      </c>
      <c r="D162" s="19" t="s">
        <v>278</v>
      </c>
      <c r="E162" s="19" t="s">
        <v>18</v>
      </c>
      <c r="F162" s="19" t="s">
        <v>32</v>
      </c>
      <c r="G162" s="21">
        <v>20.0</v>
      </c>
      <c r="H162" s="22">
        <v>91.9</v>
      </c>
    </row>
    <row r="163">
      <c r="A163" s="19">
        <v>162.0</v>
      </c>
      <c r="B163" s="19">
        <v>180.0</v>
      </c>
      <c r="C163" s="19">
        <v>144.0</v>
      </c>
      <c r="D163" s="19" t="s">
        <v>279</v>
      </c>
      <c r="E163" s="19" t="s">
        <v>80</v>
      </c>
      <c r="F163" s="19" t="s">
        <v>19</v>
      </c>
      <c r="G163" s="21">
        <v>15.0</v>
      </c>
      <c r="H163" s="22">
        <v>102.3</v>
      </c>
    </row>
    <row r="164">
      <c r="A164" s="19">
        <v>163.0</v>
      </c>
      <c r="B164" s="19">
        <v>153.0</v>
      </c>
      <c r="C164" s="19">
        <v>173.0</v>
      </c>
      <c r="D164" s="19" t="s">
        <v>280</v>
      </c>
      <c r="E164" s="19" t="s">
        <v>80</v>
      </c>
      <c r="F164" s="19" t="s">
        <v>63</v>
      </c>
      <c r="G164" s="21">
        <v>12.0</v>
      </c>
      <c r="H164" s="22">
        <v>87.9</v>
      </c>
    </row>
    <row r="165">
      <c r="A165" s="19">
        <v>164.0</v>
      </c>
      <c r="B165" s="19">
        <v>130.0</v>
      </c>
      <c r="C165" s="19">
        <v>166.0</v>
      </c>
      <c r="D165" s="19" t="s">
        <v>281</v>
      </c>
      <c r="E165" s="19" t="s">
        <v>112</v>
      </c>
      <c r="F165" s="19" t="s">
        <v>54</v>
      </c>
      <c r="G165" s="21">
        <v>10.0</v>
      </c>
      <c r="H165" s="22">
        <v>95.1</v>
      </c>
    </row>
    <row r="166">
      <c r="A166" s="19">
        <v>165.0</v>
      </c>
      <c r="B166" s="19">
        <v>188.0</v>
      </c>
      <c r="C166" s="19">
        <v>159.0</v>
      </c>
      <c r="D166" s="19" t="s">
        <v>282</v>
      </c>
      <c r="E166" s="19" t="s">
        <v>70</v>
      </c>
      <c r="F166" s="19" t="s">
        <v>91</v>
      </c>
      <c r="G166" s="21">
        <v>8.0</v>
      </c>
      <c r="H166" s="22">
        <v>93.3</v>
      </c>
    </row>
    <row r="167">
      <c r="A167" s="19">
        <v>166.0</v>
      </c>
      <c r="B167" s="19">
        <v>167.0</v>
      </c>
      <c r="C167" s="19">
        <v>162.0</v>
      </c>
      <c r="D167" s="19" t="s">
        <v>283</v>
      </c>
      <c r="E167" s="19" t="s">
        <v>284</v>
      </c>
      <c r="F167" s="19" t="s">
        <v>44</v>
      </c>
      <c r="G167" s="21">
        <v>22.0</v>
      </c>
      <c r="H167" s="22">
        <v>92.8</v>
      </c>
    </row>
    <row r="168">
      <c r="A168" s="19">
        <v>167.0</v>
      </c>
      <c r="B168" s="19">
        <v>136.0</v>
      </c>
      <c r="C168" s="19">
        <v>177.0</v>
      </c>
      <c r="D168" s="19" t="s">
        <v>285</v>
      </c>
      <c r="E168" s="19" t="s">
        <v>150</v>
      </c>
      <c r="F168" s="19" t="s">
        <v>19</v>
      </c>
      <c r="G168" s="21">
        <v>16.0</v>
      </c>
      <c r="H168" s="22">
        <v>111.8</v>
      </c>
    </row>
    <row r="169">
      <c r="A169" s="19">
        <v>168.0</v>
      </c>
      <c r="B169" s="19">
        <v>196.0</v>
      </c>
      <c r="C169" s="19">
        <v>161.0</v>
      </c>
      <c r="D169" s="19" t="s">
        <v>286</v>
      </c>
      <c r="E169" s="19" t="s">
        <v>287</v>
      </c>
      <c r="F169" s="19" t="s">
        <v>170</v>
      </c>
      <c r="G169" s="21">
        <v>7.0</v>
      </c>
      <c r="H169" s="22">
        <v>91.9</v>
      </c>
    </row>
    <row r="170">
      <c r="A170" s="19">
        <v>169.0</v>
      </c>
      <c r="B170" s="19">
        <v>156.0</v>
      </c>
      <c r="C170" s="19">
        <v>154.0</v>
      </c>
      <c r="D170" s="19" t="s">
        <v>288</v>
      </c>
      <c r="E170" s="19" t="s">
        <v>133</v>
      </c>
      <c r="F170" s="19" t="s">
        <v>63</v>
      </c>
      <c r="G170" s="21">
        <v>13.0</v>
      </c>
      <c r="H170" s="22">
        <v>93.3</v>
      </c>
    </row>
    <row r="171">
      <c r="A171" s="19">
        <v>170.0</v>
      </c>
      <c r="B171" s="19">
        <v>166.0</v>
      </c>
      <c r="C171" s="19">
        <v>170.0</v>
      </c>
      <c r="D171" s="19" t="s">
        <v>289</v>
      </c>
      <c r="E171" s="19" t="s">
        <v>75</v>
      </c>
      <c r="F171" s="19" t="s">
        <v>85</v>
      </c>
      <c r="G171" s="21">
        <v>8.0</v>
      </c>
      <c r="H171" s="22">
        <v>89.6</v>
      </c>
    </row>
    <row r="172">
      <c r="A172" s="19">
        <v>171.0</v>
      </c>
      <c r="B172" s="19">
        <v>178.0</v>
      </c>
      <c r="C172" s="19">
        <v>169.0</v>
      </c>
      <c r="D172" s="19" t="s">
        <v>290</v>
      </c>
      <c r="E172" s="19" t="s">
        <v>75</v>
      </c>
      <c r="F172" s="19" t="s">
        <v>15</v>
      </c>
      <c r="G172" s="21">
        <v>8.0</v>
      </c>
      <c r="H172" s="22">
        <v>96.9</v>
      </c>
    </row>
    <row r="173">
      <c r="A173" s="19">
        <v>172.0</v>
      </c>
      <c r="B173" s="19">
        <v>183.0</v>
      </c>
      <c r="C173" s="19">
        <v>168.0</v>
      </c>
      <c r="D173" s="19" t="s">
        <v>291</v>
      </c>
      <c r="E173" s="19" t="s">
        <v>70</v>
      </c>
      <c r="F173" s="19" t="s">
        <v>170</v>
      </c>
      <c r="G173" s="21">
        <v>8.0</v>
      </c>
      <c r="H173" s="22">
        <v>100.5</v>
      </c>
    </row>
    <row r="174">
      <c r="A174" s="19">
        <v>173.0</v>
      </c>
      <c r="B174" s="19">
        <v>200.0</v>
      </c>
      <c r="C174" s="19">
        <v>164.0</v>
      </c>
      <c r="D174" s="19" t="s">
        <v>292</v>
      </c>
      <c r="E174" s="19" t="s">
        <v>47</v>
      </c>
      <c r="F174" s="19" t="s">
        <v>63</v>
      </c>
      <c r="G174" s="21">
        <v>14.0</v>
      </c>
      <c r="H174" s="22">
        <v>79.7</v>
      </c>
    </row>
    <row r="175">
      <c r="A175" s="19">
        <v>174.0</v>
      </c>
      <c r="B175" s="19">
        <v>176.0</v>
      </c>
      <c r="C175" s="19">
        <v>178.0</v>
      </c>
      <c r="D175" s="19" t="s">
        <v>293</v>
      </c>
      <c r="E175" s="19" t="s">
        <v>119</v>
      </c>
      <c r="F175" s="19" t="s">
        <v>85</v>
      </c>
      <c r="G175" s="21">
        <v>9.0</v>
      </c>
      <c r="H175" s="22">
        <v>105.9</v>
      </c>
    </row>
    <row r="176">
      <c r="A176" s="19">
        <v>175.0</v>
      </c>
      <c r="B176" s="19">
        <v>190.0</v>
      </c>
      <c r="C176" s="19">
        <v>176.0</v>
      </c>
      <c r="D176" s="19" t="s">
        <v>294</v>
      </c>
      <c r="E176" s="19" t="s">
        <v>202</v>
      </c>
      <c r="F176" s="19" t="s">
        <v>38</v>
      </c>
      <c r="G176" s="21">
        <v>17.0</v>
      </c>
      <c r="H176" s="22">
        <v>103.7</v>
      </c>
    </row>
    <row r="177">
      <c r="A177" s="19">
        <v>176.0</v>
      </c>
      <c r="B177" s="19">
        <v>206.0</v>
      </c>
      <c r="C177" s="19">
        <v>175.0</v>
      </c>
      <c r="D177" s="19" t="s">
        <v>295</v>
      </c>
      <c r="E177" s="19" t="s">
        <v>212</v>
      </c>
      <c r="F177" s="19" t="s">
        <v>170</v>
      </c>
      <c r="G177" s="21">
        <v>9.0</v>
      </c>
      <c r="H177" s="22">
        <v>99.2</v>
      </c>
    </row>
    <row r="178">
      <c r="A178" s="19">
        <v>177.0</v>
      </c>
      <c r="B178" s="19">
        <v>152.0</v>
      </c>
      <c r="C178" s="19">
        <v>184.0</v>
      </c>
      <c r="D178" s="19" t="s">
        <v>296</v>
      </c>
      <c r="E178" s="19" t="s">
        <v>31</v>
      </c>
      <c r="F178" s="19" t="s">
        <v>26</v>
      </c>
      <c r="G178" s="21">
        <v>12.0</v>
      </c>
      <c r="H178" s="22">
        <v>106.8</v>
      </c>
    </row>
    <row r="179">
      <c r="A179" s="19">
        <v>178.0</v>
      </c>
      <c r="B179" s="19">
        <v>174.0</v>
      </c>
      <c r="C179" s="19">
        <v>181.0</v>
      </c>
      <c r="D179" s="19" t="s">
        <v>297</v>
      </c>
      <c r="E179" s="19" t="s">
        <v>35</v>
      </c>
      <c r="F179" s="19" t="s">
        <v>40</v>
      </c>
      <c r="G179" s="21">
        <v>23.0</v>
      </c>
      <c r="H179" s="22">
        <v>84.7</v>
      </c>
    </row>
    <row r="180">
      <c r="A180" s="19">
        <v>179.0</v>
      </c>
      <c r="B180" s="19">
        <v>193.0</v>
      </c>
      <c r="C180" s="19">
        <v>174.0</v>
      </c>
      <c r="D180" s="19" t="s">
        <v>298</v>
      </c>
      <c r="E180" s="19" t="s">
        <v>299</v>
      </c>
      <c r="F180" s="19" t="s">
        <v>32</v>
      </c>
      <c r="G180" s="21">
        <v>21.0</v>
      </c>
      <c r="H180" s="22">
        <v>91.5</v>
      </c>
    </row>
    <row r="181">
      <c r="A181" s="19">
        <v>180.0</v>
      </c>
      <c r="B181" s="19">
        <v>159.0</v>
      </c>
      <c r="C181" s="19">
        <v>185.0</v>
      </c>
      <c r="D181" s="19" t="s">
        <v>300</v>
      </c>
      <c r="E181" s="19" t="s">
        <v>73</v>
      </c>
      <c r="F181" s="19" t="s">
        <v>54</v>
      </c>
      <c r="G181" s="21">
        <v>11.0</v>
      </c>
      <c r="H181" s="22">
        <v>86.5</v>
      </c>
    </row>
    <row r="182">
      <c r="A182" s="19">
        <v>181.0</v>
      </c>
      <c r="B182" s="19">
        <v>197.0</v>
      </c>
      <c r="C182" s="19">
        <v>183.0</v>
      </c>
      <c r="D182" s="19" t="s">
        <v>301</v>
      </c>
      <c r="E182" s="19" t="s">
        <v>50</v>
      </c>
      <c r="F182" s="19" t="s">
        <v>26</v>
      </c>
      <c r="G182" s="21">
        <v>13.0</v>
      </c>
      <c r="H182" s="22">
        <v>80.2</v>
      </c>
    </row>
    <row r="183">
      <c r="A183" s="19">
        <v>182.0</v>
      </c>
      <c r="B183" s="19">
        <v>207.0</v>
      </c>
      <c r="C183" s="19">
        <v>182.0</v>
      </c>
      <c r="D183" s="19" t="s">
        <v>302</v>
      </c>
      <c r="E183" s="19" t="s">
        <v>212</v>
      </c>
      <c r="F183" s="19" t="s">
        <v>23</v>
      </c>
      <c r="G183" s="21">
        <v>9.0</v>
      </c>
      <c r="H183" s="22">
        <v>89.7</v>
      </c>
    </row>
    <row r="184">
      <c r="A184" s="19">
        <v>183.0</v>
      </c>
      <c r="B184" s="19">
        <v>209.0</v>
      </c>
      <c r="C184" s="19">
        <v>187.0</v>
      </c>
      <c r="D184" s="19" t="s">
        <v>303</v>
      </c>
      <c r="E184" s="19" t="s">
        <v>202</v>
      </c>
      <c r="F184" s="19" t="s">
        <v>63</v>
      </c>
      <c r="G184" s="21">
        <v>15.0</v>
      </c>
      <c r="H184" s="22">
        <v>82.9</v>
      </c>
    </row>
    <row r="185">
      <c r="A185" s="19">
        <v>184.0</v>
      </c>
      <c r="B185" s="19">
        <v>220.0</v>
      </c>
      <c r="C185" s="19">
        <v>179.0</v>
      </c>
      <c r="D185" s="19" t="s">
        <v>304</v>
      </c>
      <c r="E185" s="19" t="s">
        <v>133</v>
      </c>
      <c r="F185" s="19" t="s">
        <v>40</v>
      </c>
      <c r="G185" s="21">
        <v>24.0</v>
      </c>
      <c r="H185" s="22">
        <v>105.1</v>
      </c>
    </row>
    <row r="186">
      <c r="A186" s="19">
        <v>185.0</v>
      </c>
      <c r="B186" s="19">
        <v>173.0</v>
      </c>
      <c r="C186" s="19">
        <v>192.0</v>
      </c>
      <c r="D186" s="19" t="s">
        <v>305</v>
      </c>
      <c r="E186" s="19" t="s">
        <v>133</v>
      </c>
      <c r="F186" s="19" t="s">
        <v>40</v>
      </c>
      <c r="G186" s="21">
        <v>25.0</v>
      </c>
      <c r="H186" s="22">
        <v>85.2</v>
      </c>
    </row>
    <row r="187">
      <c r="A187" s="19">
        <v>186.0</v>
      </c>
      <c r="B187" s="19">
        <v>216.0</v>
      </c>
      <c r="C187" s="19">
        <v>172.0</v>
      </c>
      <c r="D187" s="19" t="s">
        <v>306</v>
      </c>
      <c r="E187" s="19" t="s">
        <v>175</v>
      </c>
      <c r="F187" s="19" t="s">
        <v>40</v>
      </c>
      <c r="G187" s="21">
        <v>26.0</v>
      </c>
      <c r="H187" s="22">
        <v>105.5</v>
      </c>
    </row>
    <row r="188">
      <c r="A188" s="19">
        <v>187.0</v>
      </c>
      <c r="B188" s="19">
        <v>201.0</v>
      </c>
      <c r="C188" s="19">
        <v>188.0</v>
      </c>
      <c r="D188" s="19" t="s">
        <v>307</v>
      </c>
      <c r="E188" s="19" t="s">
        <v>308</v>
      </c>
      <c r="F188" s="19" t="s">
        <v>26</v>
      </c>
      <c r="G188" s="21">
        <v>14.0</v>
      </c>
      <c r="H188" s="22">
        <v>103.2</v>
      </c>
    </row>
    <row r="189">
      <c r="A189" s="19">
        <v>188.0</v>
      </c>
      <c r="B189" s="19">
        <v>175.0</v>
      </c>
      <c r="C189" s="19">
        <v>195.0</v>
      </c>
      <c r="D189" s="19" t="s">
        <v>309</v>
      </c>
      <c r="E189" s="19" t="s">
        <v>310</v>
      </c>
      <c r="F189" s="19" t="s">
        <v>32</v>
      </c>
      <c r="G189" s="21">
        <v>22.0</v>
      </c>
      <c r="H189" s="22">
        <v>97.3</v>
      </c>
    </row>
    <row r="190">
      <c r="A190" s="19">
        <v>189.0</v>
      </c>
      <c r="B190" s="19">
        <v>186.0</v>
      </c>
      <c r="C190" s="19">
        <v>197.0</v>
      </c>
      <c r="D190" s="19" t="s">
        <v>311</v>
      </c>
      <c r="E190" s="19" t="s">
        <v>312</v>
      </c>
      <c r="F190" s="19" t="s">
        <v>19</v>
      </c>
      <c r="G190" s="21">
        <v>17.0</v>
      </c>
      <c r="H190" s="22">
        <v>98.7</v>
      </c>
    </row>
    <row r="191">
      <c r="A191" s="19">
        <v>190.0</v>
      </c>
      <c r="B191" s="19">
        <v>164.0</v>
      </c>
      <c r="C191" s="19">
        <v>201.0</v>
      </c>
      <c r="D191" s="19" t="s">
        <v>313</v>
      </c>
      <c r="E191" s="19" t="s">
        <v>80</v>
      </c>
      <c r="F191" s="19" t="s">
        <v>23</v>
      </c>
      <c r="G191" s="21">
        <v>10.0</v>
      </c>
      <c r="H191" s="22">
        <v>89.7</v>
      </c>
    </row>
    <row r="192">
      <c r="A192" s="19">
        <v>191.0</v>
      </c>
      <c r="B192" s="19">
        <v>147.0</v>
      </c>
      <c r="C192" s="19">
        <v>203.0</v>
      </c>
      <c r="D192" s="19" t="s">
        <v>314</v>
      </c>
      <c r="E192" s="19" t="s">
        <v>124</v>
      </c>
      <c r="F192" s="19" t="s">
        <v>54</v>
      </c>
      <c r="G192" s="21">
        <v>12.0</v>
      </c>
      <c r="H192" s="22">
        <v>107.8</v>
      </c>
    </row>
    <row r="193">
      <c r="A193" s="19">
        <v>192.0</v>
      </c>
      <c r="B193" s="19">
        <v>203.0</v>
      </c>
      <c r="C193" s="19">
        <v>191.0</v>
      </c>
      <c r="D193" s="19" t="s">
        <v>315</v>
      </c>
      <c r="E193" s="19" t="s">
        <v>14</v>
      </c>
      <c r="F193" s="19" t="s">
        <v>170</v>
      </c>
      <c r="G193" s="21">
        <v>10.0</v>
      </c>
      <c r="H193" s="22">
        <v>92.4</v>
      </c>
    </row>
    <row r="194">
      <c r="A194" s="19">
        <v>193.0</v>
      </c>
      <c r="B194" s="19">
        <v>170.0</v>
      </c>
      <c r="C194" s="19">
        <v>198.0</v>
      </c>
      <c r="D194" s="19" t="s">
        <v>316</v>
      </c>
      <c r="E194" s="19" t="s">
        <v>80</v>
      </c>
      <c r="F194" s="19" t="s">
        <v>54</v>
      </c>
      <c r="G194" s="21">
        <v>13.0</v>
      </c>
      <c r="H194" s="22">
        <v>83.8</v>
      </c>
    </row>
    <row r="195">
      <c r="A195" s="19">
        <v>194.0</v>
      </c>
      <c r="B195" s="19">
        <v>214.0</v>
      </c>
      <c r="C195" s="19">
        <v>180.0</v>
      </c>
      <c r="D195" s="19" t="s">
        <v>317</v>
      </c>
      <c r="E195" s="19" t="s">
        <v>107</v>
      </c>
      <c r="F195" s="19" t="s">
        <v>234</v>
      </c>
      <c r="G195" s="21">
        <v>3.0</v>
      </c>
      <c r="H195" s="22">
        <v>101.9</v>
      </c>
    </row>
    <row r="196">
      <c r="A196" s="19">
        <v>195.0</v>
      </c>
      <c r="B196" s="19">
        <v>182.0</v>
      </c>
      <c r="C196" s="19">
        <v>199.0</v>
      </c>
      <c r="D196" s="19" t="s">
        <v>318</v>
      </c>
      <c r="E196" s="19" t="s">
        <v>128</v>
      </c>
      <c r="F196" s="19" t="s">
        <v>54</v>
      </c>
      <c r="G196" s="21">
        <v>14.0</v>
      </c>
      <c r="H196" s="22">
        <v>85.6</v>
      </c>
    </row>
    <row r="197">
      <c r="A197" s="19">
        <v>196.0</v>
      </c>
      <c r="B197" s="19">
        <v>204.0</v>
      </c>
      <c r="C197" s="19">
        <v>194.0</v>
      </c>
      <c r="D197" s="19" t="s">
        <v>319</v>
      </c>
      <c r="E197" s="19" t="s">
        <v>70</v>
      </c>
      <c r="F197" s="19" t="s">
        <v>63</v>
      </c>
      <c r="G197" s="21">
        <v>16.0</v>
      </c>
      <c r="H197" s="22">
        <v>88.7</v>
      </c>
    </row>
    <row r="198">
      <c r="A198" s="19">
        <v>197.0</v>
      </c>
      <c r="B198" s="19">
        <v>229.0</v>
      </c>
      <c r="C198" s="19">
        <v>190.0</v>
      </c>
      <c r="D198" s="19" t="s">
        <v>320</v>
      </c>
      <c r="E198" s="19" t="s">
        <v>321</v>
      </c>
      <c r="F198" s="19" t="s">
        <v>19</v>
      </c>
      <c r="G198" s="21">
        <v>18.0</v>
      </c>
      <c r="H198" s="22">
        <v>91.9</v>
      </c>
    </row>
    <row r="199">
      <c r="A199" s="19">
        <v>198.0</v>
      </c>
      <c r="B199" s="19">
        <v>148.0</v>
      </c>
      <c r="C199" s="19">
        <v>205.0</v>
      </c>
      <c r="D199" s="19" t="s">
        <v>322</v>
      </c>
      <c r="E199" s="19" t="s">
        <v>70</v>
      </c>
      <c r="F199" s="19" t="s">
        <v>19</v>
      </c>
      <c r="G199" s="21">
        <v>19.0</v>
      </c>
      <c r="H199" s="22">
        <v>92.4</v>
      </c>
    </row>
    <row r="200">
      <c r="A200" s="19">
        <v>199.0</v>
      </c>
      <c r="B200" s="19">
        <v>232.0</v>
      </c>
      <c r="C200" s="19">
        <v>186.0</v>
      </c>
      <c r="D200" s="19" t="s">
        <v>323</v>
      </c>
      <c r="E200" s="19" t="s">
        <v>14</v>
      </c>
      <c r="F200" s="19" t="s">
        <v>26</v>
      </c>
      <c r="G200" s="21">
        <v>15.0</v>
      </c>
      <c r="H200" s="22">
        <v>97.3</v>
      </c>
    </row>
    <row r="201">
      <c r="A201" s="19">
        <v>200.0</v>
      </c>
      <c r="B201" s="19">
        <v>231.0</v>
      </c>
      <c r="C201" s="19">
        <v>193.0</v>
      </c>
      <c r="D201" s="19" t="s">
        <v>324</v>
      </c>
      <c r="E201" s="19" t="s">
        <v>212</v>
      </c>
      <c r="F201" s="19" t="s">
        <v>40</v>
      </c>
      <c r="G201" s="21">
        <v>27.0</v>
      </c>
      <c r="H201" s="22">
        <v>99.6</v>
      </c>
    </row>
    <row r="202">
      <c r="A202" s="19">
        <v>201.0</v>
      </c>
      <c r="B202" s="19">
        <v>230.0</v>
      </c>
      <c r="C202" s="19">
        <v>200.0</v>
      </c>
      <c r="D202" s="19" t="s">
        <v>325</v>
      </c>
      <c r="E202" s="19" t="s">
        <v>326</v>
      </c>
      <c r="F202" s="19" t="s">
        <v>23</v>
      </c>
      <c r="G202" s="21">
        <v>11.0</v>
      </c>
      <c r="H202" s="22">
        <v>93.3</v>
      </c>
    </row>
    <row r="203">
      <c r="A203" s="19">
        <v>202.0</v>
      </c>
      <c r="B203" s="19">
        <v>251.0</v>
      </c>
      <c r="C203" s="19">
        <v>189.0</v>
      </c>
      <c r="D203" s="19" t="s">
        <v>327</v>
      </c>
      <c r="E203" s="19" t="s">
        <v>31</v>
      </c>
      <c r="F203" s="19" t="s">
        <v>40</v>
      </c>
      <c r="G203" s="21">
        <v>28.0</v>
      </c>
      <c r="H203" s="22">
        <v>110.9</v>
      </c>
    </row>
    <row r="204">
      <c r="A204" s="19">
        <v>203.0</v>
      </c>
      <c r="B204" s="19">
        <v>202.0</v>
      </c>
      <c r="C204" s="19">
        <v>202.0</v>
      </c>
      <c r="D204" s="19" t="s">
        <v>328</v>
      </c>
      <c r="E204" s="19" t="s">
        <v>22</v>
      </c>
      <c r="F204" s="19" t="s">
        <v>38</v>
      </c>
      <c r="G204" s="21">
        <v>18.0</v>
      </c>
      <c r="H204" s="22">
        <v>86.5</v>
      </c>
    </row>
    <row r="205">
      <c r="A205" s="19">
        <v>204.0</v>
      </c>
      <c r="B205" s="19">
        <v>185.0</v>
      </c>
      <c r="C205" s="19">
        <v>207.0</v>
      </c>
      <c r="D205" s="19" t="s">
        <v>329</v>
      </c>
      <c r="E205" s="19" t="s">
        <v>75</v>
      </c>
      <c r="F205" s="19" t="s">
        <v>23</v>
      </c>
      <c r="G205" s="21">
        <v>12.0</v>
      </c>
      <c r="H205" s="22">
        <v>81.1</v>
      </c>
    </row>
    <row r="206">
      <c r="A206" s="19">
        <v>205.0</v>
      </c>
      <c r="B206" s="19">
        <v>149.0</v>
      </c>
      <c r="C206" s="19">
        <v>216.0</v>
      </c>
      <c r="D206" s="19" t="s">
        <v>330</v>
      </c>
      <c r="E206" s="19" t="s">
        <v>18</v>
      </c>
      <c r="F206" s="19" t="s">
        <v>63</v>
      </c>
      <c r="G206" s="21">
        <v>17.0</v>
      </c>
      <c r="H206" s="22">
        <v>99.2</v>
      </c>
    </row>
    <row r="207">
      <c r="A207" s="19">
        <v>206.0</v>
      </c>
      <c r="B207" s="19">
        <v>241.0</v>
      </c>
      <c r="C207" s="19">
        <v>196.0</v>
      </c>
      <c r="D207" s="19" t="s">
        <v>331</v>
      </c>
      <c r="E207" s="19" t="s">
        <v>144</v>
      </c>
      <c r="F207" s="19" t="s">
        <v>40</v>
      </c>
      <c r="G207" s="21">
        <v>29.0</v>
      </c>
      <c r="H207" s="22">
        <v>95.1</v>
      </c>
    </row>
    <row r="208">
      <c r="A208" s="19">
        <v>207.0</v>
      </c>
      <c r="B208" s="19">
        <v>172.0</v>
      </c>
      <c r="C208" s="19">
        <v>215.0</v>
      </c>
      <c r="D208" s="19" t="s">
        <v>332</v>
      </c>
      <c r="E208" s="19" t="s">
        <v>128</v>
      </c>
      <c r="F208" s="19" t="s">
        <v>32</v>
      </c>
      <c r="G208" s="21">
        <v>23.0</v>
      </c>
      <c r="H208" s="22">
        <v>89.2</v>
      </c>
    </row>
    <row r="209">
      <c r="A209" s="19">
        <v>208.0</v>
      </c>
      <c r="B209" s="19">
        <v>212.0</v>
      </c>
      <c r="C209" s="19">
        <v>206.0</v>
      </c>
      <c r="D209" s="19" t="s">
        <v>333</v>
      </c>
      <c r="E209" s="19" t="s">
        <v>334</v>
      </c>
      <c r="F209" s="19" t="s">
        <v>23</v>
      </c>
      <c r="G209" s="21">
        <v>13.0</v>
      </c>
      <c r="H209" s="22">
        <v>99.6</v>
      </c>
    </row>
    <row r="210">
      <c r="A210" s="19">
        <v>209.0</v>
      </c>
      <c r="B210" s="19">
        <v>199.0</v>
      </c>
      <c r="C210" s="19">
        <v>210.0</v>
      </c>
      <c r="D210" s="19" t="s">
        <v>335</v>
      </c>
      <c r="E210" s="19" t="s">
        <v>153</v>
      </c>
      <c r="F210" s="19" t="s">
        <v>44</v>
      </c>
      <c r="G210" s="21">
        <v>23.0</v>
      </c>
      <c r="H210" s="22">
        <v>96.0</v>
      </c>
    </row>
    <row r="211">
      <c r="A211" s="19">
        <v>210.0</v>
      </c>
      <c r="B211" s="19">
        <v>146.0</v>
      </c>
      <c r="C211" s="19">
        <v>219.0</v>
      </c>
      <c r="D211" s="19" t="s">
        <v>336</v>
      </c>
      <c r="E211" s="19" t="s">
        <v>124</v>
      </c>
      <c r="F211" s="19" t="s">
        <v>26</v>
      </c>
      <c r="G211" s="21">
        <v>16.0</v>
      </c>
      <c r="H211" s="22">
        <v>91.0</v>
      </c>
    </row>
    <row r="212">
      <c r="A212" s="19">
        <v>211.0</v>
      </c>
      <c r="B212" s="19">
        <v>191.0</v>
      </c>
      <c r="C212" s="19">
        <v>211.0</v>
      </c>
      <c r="D212" s="19" t="s">
        <v>337</v>
      </c>
      <c r="E212" s="19" t="s">
        <v>70</v>
      </c>
      <c r="F212" s="19" t="s">
        <v>44</v>
      </c>
      <c r="G212" s="21">
        <v>24.0</v>
      </c>
      <c r="H212" s="22">
        <v>95.1</v>
      </c>
    </row>
    <row r="213">
      <c r="A213" s="19">
        <v>212.0</v>
      </c>
      <c r="B213" s="19">
        <v>171.0</v>
      </c>
      <c r="C213" s="19">
        <v>213.0</v>
      </c>
      <c r="D213" s="19" t="s">
        <v>338</v>
      </c>
      <c r="E213" s="19" t="s">
        <v>31</v>
      </c>
      <c r="F213" s="19" t="s">
        <v>54</v>
      </c>
      <c r="G213" s="21">
        <v>15.0</v>
      </c>
      <c r="H213" s="22">
        <v>88.3</v>
      </c>
    </row>
    <row r="214">
      <c r="A214" s="19">
        <v>213.0</v>
      </c>
      <c r="B214" s="19">
        <v>242.0</v>
      </c>
      <c r="C214" s="19">
        <v>208.0</v>
      </c>
      <c r="D214" s="19" t="s">
        <v>339</v>
      </c>
      <c r="E214" s="19" t="s">
        <v>340</v>
      </c>
      <c r="F214" s="19" t="s">
        <v>63</v>
      </c>
      <c r="G214" s="21">
        <v>18.0</v>
      </c>
      <c r="H214" s="22">
        <v>84.2</v>
      </c>
    </row>
    <row r="215">
      <c r="A215" s="19">
        <v>214.0</v>
      </c>
      <c r="B215" s="19">
        <v>238.0</v>
      </c>
      <c r="C215" s="19">
        <v>209.0</v>
      </c>
      <c r="D215" s="19" t="s">
        <v>341</v>
      </c>
      <c r="E215" s="19" t="s">
        <v>14</v>
      </c>
      <c r="F215" s="19" t="s">
        <v>23</v>
      </c>
      <c r="G215" s="21">
        <v>14.0</v>
      </c>
      <c r="H215" s="22">
        <v>91.9</v>
      </c>
    </row>
    <row r="216">
      <c r="A216" s="19">
        <v>215.0</v>
      </c>
      <c r="B216" s="19">
        <v>293.0</v>
      </c>
      <c r="C216" s="19">
        <v>204.0</v>
      </c>
      <c r="D216" s="19" t="s">
        <v>342</v>
      </c>
      <c r="E216" s="19" t="s">
        <v>326</v>
      </c>
      <c r="F216" s="19" t="s">
        <v>234</v>
      </c>
      <c r="G216" s="21">
        <v>4.0</v>
      </c>
      <c r="H216" s="22">
        <v>90.1</v>
      </c>
    </row>
    <row r="217">
      <c r="A217" s="19">
        <v>216.0</v>
      </c>
      <c r="B217" s="19">
        <v>227.0</v>
      </c>
      <c r="C217" s="19">
        <v>214.0</v>
      </c>
      <c r="D217" s="19" t="s">
        <v>343</v>
      </c>
      <c r="E217" s="19" t="s">
        <v>344</v>
      </c>
      <c r="F217" s="19" t="s">
        <v>44</v>
      </c>
      <c r="G217" s="21">
        <v>25.0</v>
      </c>
      <c r="H217" s="22">
        <v>85.6</v>
      </c>
    </row>
    <row r="218">
      <c r="A218" s="19">
        <v>217.0</v>
      </c>
      <c r="B218" s="19">
        <v>217.0</v>
      </c>
      <c r="C218" s="19">
        <v>220.0</v>
      </c>
      <c r="D218" s="19" t="s">
        <v>345</v>
      </c>
      <c r="E218" s="19" t="s">
        <v>47</v>
      </c>
      <c r="F218" s="19" t="s">
        <v>19</v>
      </c>
      <c r="G218" s="21">
        <v>20.0</v>
      </c>
      <c r="H218" s="22">
        <v>82.4</v>
      </c>
    </row>
    <row r="219">
      <c r="A219" s="19">
        <v>218.0</v>
      </c>
      <c r="B219" s="19">
        <v>211.0</v>
      </c>
      <c r="C219" s="19">
        <v>223.0</v>
      </c>
      <c r="D219" s="19" t="s">
        <v>346</v>
      </c>
      <c r="E219" s="19" t="s">
        <v>245</v>
      </c>
      <c r="F219" s="19" t="s">
        <v>54</v>
      </c>
      <c r="G219" s="21">
        <v>16.0</v>
      </c>
      <c r="H219" s="22">
        <v>79.7</v>
      </c>
    </row>
    <row r="220">
      <c r="A220" s="19">
        <v>219.0</v>
      </c>
      <c r="B220" s="19">
        <v>205.0</v>
      </c>
      <c r="C220" s="19">
        <v>224.0</v>
      </c>
      <c r="D220" s="19" t="s">
        <v>347</v>
      </c>
      <c r="E220" s="19" t="s">
        <v>35</v>
      </c>
      <c r="F220" s="19" t="s">
        <v>40</v>
      </c>
      <c r="G220" s="21">
        <v>30.0</v>
      </c>
      <c r="H220" s="22">
        <v>104.1</v>
      </c>
    </row>
    <row r="221">
      <c r="A221" s="19">
        <v>220.0</v>
      </c>
      <c r="B221" s="19">
        <v>264.0</v>
      </c>
      <c r="C221" s="19">
        <v>212.0</v>
      </c>
      <c r="D221" s="19" t="s">
        <v>348</v>
      </c>
      <c r="E221" s="19" t="s">
        <v>14</v>
      </c>
      <c r="F221" s="19" t="s">
        <v>32</v>
      </c>
      <c r="G221" s="21">
        <v>24.0</v>
      </c>
      <c r="H221" s="22">
        <v>91.5</v>
      </c>
    </row>
    <row r="222">
      <c r="A222" s="19">
        <v>221.0</v>
      </c>
      <c r="B222" s="19">
        <v>253.0</v>
      </c>
      <c r="C222" s="19">
        <v>222.0</v>
      </c>
      <c r="D222" s="19" t="s">
        <v>349</v>
      </c>
      <c r="E222" s="19" t="s">
        <v>67</v>
      </c>
      <c r="F222" s="19" t="s">
        <v>54</v>
      </c>
      <c r="G222" s="21">
        <v>17.0</v>
      </c>
      <c r="H222" s="22">
        <v>72.5</v>
      </c>
    </row>
    <row r="223">
      <c r="A223" s="19">
        <v>222.0</v>
      </c>
      <c r="B223" s="19">
        <v>219.0</v>
      </c>
      <c r="C223" s="19">
        <v>229.0</v>
      </c>
      <c r="D223" s="19" t="s">
        <v>350</v>
      </c>
      <c r="E223" s="19" t="s">
        <v>14</v>
      </c>
      <c r="F223" s="19" t="s">
        <v>23</v>
      </c>
      <c r="G223" s="21">
        <v>15.0</v>
      </c>
      <c r="H223" s="22">
        <v>86.9</v>
      </c>
    </row>
    <row r="224">
      <c r="A224" s="19">
        <v>223.0</v>
      </c>
      <c r="B224" s="19">
        <v>224.0</v>
      </c>
      <c r="C224" s="19">
        <v>228.0</v>
      </c>
      <c r="D224" s="19" t="s">
        <v>351</v>
      </c>
      <c r="E224" s="19" t="s">
        <v>227</v>
      </c>
      <c r="F224" s="19" t="s">
        <v>15</v>
      </c>
      <c r="G224" s="21">
        <v>9.0</v>
      </c>
      <c r="H224" s="22">
        <v>86.0</v>
      </c>
    </row>
    <row r="225">
      <c r="A225" s="19">
        <v>224.0</v>
      </c>
      <c r="B225" s="19">
        <v>210.0</v>
      </c>
      <c r="C225" s="19">
        <v>230.0</v>
      </c>
      <c r="D225" s="19" t="s">
        <v>352</v>
      </c>
      <c r="E225" s="19" t="s">
        <v>259</v>
      </c>
      <c r="F225" s="19" t="s">
        <v>38</v>
      </c>
      <c r="G225" s="21">
        <v>19.0</v>
      </c>
      <c r="H225" s="22">
        <v>79.3</v>
      </c>
    </row>
    <row r="226">
      <c r="A226" s="19">
        <v>225.0</v>
      </c>
      <c r="B226" s="19">
        <v>248.0</v>
      </c>
      <c r="C226" s="19">
        <v>221.0</v>
      </c>
      <c r="D226" s="19" t="s">
        <v>353</v>
      </c>
      <c r="E226" s="19" t="s">
        <v>70</v>
      </c>
      <c r="F226" s="19" t="s">
        <v>54</v>
      </c>
      <c r="G226" s="21">
        <v>18.0</v>
      </c>
      <c r="H226" s="22">
        <v>101.4</v>
      </c>
    </row>
    <row r="227">
      <c r="A227" s="19">
        <v>226.0</v>
      </c>
      <c r="B227" s="19">
        <v>192.0</v>
      </c>
      <c r="C227" s="19">
        <v>236.0</v>
      </c>
      <c r="D227" s="19" t="s">
        <v>354</v>
      </c>
      <c r="E227" s="19" t="s">
        <v>146</v>
      </c>
      <c r="F227" s="19" t="s">
        <v>26</v>
      </c>
      <c r="G227" s="21">
        <v>17.0</v>
      </c>
      <c r="H227" s="22">
        <v>91.5</v>
      </c>
    </row>
    <row r="228">
      <c r="A228" s="19">
        <v>227.0</v>
      </c>
      <c r="B228" s="19">
        <v>269.0</v>
      </c>
      <c r="C228" s="19">
        <v>217.0</v>
      </c>
      <c r="D228" s="19" t="s">
        <v>355</v>
      </c>
      <c r="E228" s="19" t="s">
        <v>35</v>
      </c>
      <c r="F228" s="19" t="s">
        <v>234</v>
      </c>
      <c r="G228" s="21">
        <v>5.0</v>
      </c>
      <c r="H228" s="22">
        <v>87.0</v>
      </c>
    </row>
    <row r="229">
      <c r="A229" s="19">
        <v>228.0</v>
      </c>
      <c r="B229" s="19">
        <v>262.0</v>
      </c>
      <c r="C229" s="19">
        <v>226.0</v>
      </c>
      <c r="D229" s="19" t="s">
        <v>356</v>
      </c>
      <c r="E229" s="19" t="s">
        <v>35</v>
      </c>
      <c r="F229" s="19" t="s">
        <v>26</v>
      </c>
      <c r="G229" s="21">
        <v>18.0</v>
      </c>
      <c r="H229" s="22">
        <v>85.2</v>
      </c>
    </row>
    <row r="230">
      <c r="A230" s="19">
        <v>229.0</v>
      </c>
      <c r="B230" s="19">
        <v>198.0</v>
      </c>
      <c r="C230" s="19">
        <v>233.0</v>
      </c>
      <c r="D230" s="19" t="s">
        <v>357</v>
      </c>
      <c r="E230" s="19" t="s">
        <v>62</v>
      </c>
      <c r="F230" s="19" t="s">
        <v>40</v>
      </c>
      <c r="G230" s="21">
        <v>31.0</v>
      </c>
      <c r="H230" s="22">
        <v>94.6</v>
      </c>
    </row>
    <row r="231">
      <c r="A231" s="19">
        <v>230.0</v>
      </c>
      <c r="B231" s="19">
        <v>278.0</v>
      </c>
      <c r="C231" s="19">
        <v>218.0</v>
      </c>
      <c r="D231" s="19" t="s">
        <v>358</v>
      </c>
      <c r="E231" s="19" t="s">
        <v>223</v>
      </c>
      <c r="F231" s="19" t="s">
        <v>44</v>
      </c>
      <c r="G231" s="21">
        <v>26.0</v>
      </c>
      <c r="H231" s="22">
        <v>121.3</v>
      </c>
    </row>
    <row r="232">
      <c r="A232" s="19">
        <v>231.0</v>
      </c>
      <c r="B232" s="19">
        <v>265.0</v>
      </c>
      <c r="C232" s="19">
        <v>227.0</v>
      </c>
      <c r="D232" s="19" t="s">
        <v>359</v>
      </c>
      <c r="E232" s="19" t="s">
        <v>185</v>
      </c>
      <c r="F232" s="19" t="s">
        <v>32</v>
      </c>
      <c r="G232" s="21">
        <v>25.0</v>
      </c>
      <c r="H232" s="22">
        <v>74.3</v>
      </c>
    </row>
    <row r="233">
      <c r="A233" s="19">
        <v>232.0</v>
      </c>
      <c r="B233" s="19">
        <v>213.0</v>
      </c>
      <c r="C233" s="19">
        <v>232.0</v>
      </c>
      <c r="D233" s="19" t="s">
        <v>360</v>
      </c>
      <c r="E233" s="19" t="s">
        <v>87</v>
      </c>
      <c r="F233" s="19" t="s">
        <v>54</v>
      </c>
      <c r="G233" s="21">
        <v>19.0</v>
      </c>
      <c r="H233" s="22">
        <v>82.5</v>
      </c>
    </row>
    <row r="234">
      <c r="A234" s="19">
        <v>233.0</v>
      </c>
      <c r="B234" s="19">
        <v>195.0</v>
      </c>
      <c r="C234" s="19">
        <v>250.0</v>
      </c>
      <c r="D234" s="19" t="s">
        <v>361</v>
      </c>
      <c r="E234" s="19" t="s">
        <v>67</v>
      </c>
      <c r="F234" s="19" t="s">
        <v>40</v>
      </c>
      <c r="G234" s="21">
        <v>32.0</v>
      </c>
      <c r="H234" s="22">
        <v>80.2</v>
      </c>
    </row>
    <row r="235">
      <c r="A235" s="19">
        <v>234.0</v>
      </c>
      <c r="B235" s="19">
        <v>252.0</v>
      </c>
      <c r="C235" s="19">
        <v>231.0</v>
      </c>
      <c r="D235" s="19" t="s">
        <v>362</v>
      </c>
      <c r="E235" s="19" t="s">
        <v>124</v>
      </c>
      <c r="F235" s="19" t="s">
        <v>19</v>
      </c>
      <c r="G235" s="21">
        <v>21.0</v>
      </c>
      <c r="H235" s="22">
        <v>78.8</v>
      </c>
    </row>
    <row r="236">
      <c r="A236" s="19">
        <v>235.0</v>
      </c>
      <c r="B236" s="19">
        <v>221.0</v>
      </c>
      <c r="C236" s="19">
        <v>238.0</v>
      </c>
      <c r="D236" s="19" t="s">
        <v>363</v>
      </c>
      <c r="E236" s="19" t="s">
        <v>107</v>
      </c>
      <c r="F236" s="19" t="s">
        <v>32</v>
      </c>
      <c r="G236" s="21">
        <v>26.0</v>
      </c>
      <c r="H236" s="22">
        <v>79.7</v>
      </c>
    </row>
    <row r="237">
      <c r="A237" s="19">
        <v>236.0</v>
      </c>
      <c r="B237" s="19">
        <v>179.0</v>
      </c>
      <c r="C237" s="19">
        <v>254.0</v>
      </c>
      <c r="D237" s="19" t="s">
        <v>364</v>
      </c>
      <c r="E237" s="19" t="s">
        <v>185</v>
      </c>
      <c r="F237" s="19" t="s">
        <v>32</v>
      </c>
      <c r="G237" s="21">
        <v>27.0</v>
      </c>
      <c r="H237" s="22">
        <v>100.1</v>
      </c>
    </row>
    <row r="238">
      <c r="A238" s="19">
        <v>237.0</v>
      </c>
      <c r="B238" s="19">
        <v>215.0</v>
      </c>
      <c r="C238" s="19">
        <v>241.0</v>
      </c>
      <c r="D238" s="19" t="s">
        <v>365</v>
      </c>
      <c r="E238" s="19" t="s">
        <v>208</v>
      </c>
      <c r="F238" s="19" t="s">
        <v>44</v>
      </c>
      <c r="G238" s="21">
        <v>27.0</v>
      </c>
      <c r="H238" s="22">
        <v>73.9</v>
      </c>
    </row>
    <row r="239">
      <c r="A239" s="19">
        <v>238.0</v>
      </c>
      <c r="B239" s="19">
        <v>194.0</v>
      </c>
      <c r="C239" s="19">
        <v>239.0</v>
      </c>
      <c r="D239" s="19" t="s">
        <v>366</v>
      </c>
      <c r="E239" s="19" t="s">
        <v>47</v>
      </c>
      <c r="F239" s="19" t="s">
        <v>32</v>
      </c>
      <c r="G239" s="21">
        <v>28.0</v>
      </c>
      <c r="H239" s="22">
        <v>77.5</v>
      </c>
    </row>
    <row r="240">
      <c r="A240" s="19">
        <v>239.0</v>
      </c>
      <c r="B240" s="19">
        <v>222.0</v>
      </c>
      <c r="C240" s="19">
        <v>237.0</v>
      </c>
      <c r="D240" s="19" t="s">
        <v>367</v>
      </c>
      <c r="E240" s="19" t="s">
        <v>107</v>
      </c>
      <c r="F240" s="19" t="s">
        <v>40</v>
      </c>
      <c r="G240" s="21">
        <v>33.0</v>
      </c>
      <c r="H240" s="22">
        <v>81.1</v>
      </c>
    </row>
    <row r="241">
      <c r="A241" s="19">
        <v>240.0</v>
      </c>
      <c r="B241" s="19">
        <v>240.0</v>
      </c>
      <c r="C241" s="19">
        <v>242.0</v>
      </c>
      <c r="D241" s="19" t="s">
        <v>368</v>
      </c>
      <c r="E241" s="19" t="s">
        <v>14</v>
      </c>
      <c r="F241" s="19" t="s">
        <v>63</v>
      </c>
      <c r="G241" s="21">
        <v>19.0</v>
      </c>
      <c r="H241" s="22">
        <v>75.7</v>
      </c>
    </row>
    <row r="242">
      <c r="A242" s="19">
        <v>241.0</v>
      </c>
      <c r="B242" s="19">
        <v>247.0</v>
      </c>
      <c r="C242" s="19">
        <v>234.0</v>
      </c>
      <c r="D242" s="19" t="s">
        <v>369</v>
      </c>
      <c r="E242" s="19" t="s">
        <v>370</v>
      </c>
      <c r="F242" s="19" t="s">
        <v>63</v>
      </c>
      <c r="G242" s="21">
        <v>20.0</v>
      </c>
      <c r="H242" s="22">
        <v>73.4</v>
      </c>
    </row>
    <row r="243">
      <c r="A243" s="19">
        <v>242.0</v>
      </c>
      <c r="B243" s="19">
        <v>239.0</v>
      </c>
      <c r="C243" s="19">
        <v>243.0</v>
      </c>
      <c r="D243" s="19" t="s">
        <v>371</v>
      </c>
      <c r="E243" s="19" t="s">
        <v>130</v>
      </c>
      <c r="F243" s="19" t="s">
        <v>15</v>
      </c>
      <c r="G243" s="21">
        <v>10.0</v>
      </c>
      <c r="H243" s="22">
        <v>78.8</v>
      </c>
    </row>
    <row r="244">
      <c r="A244" s="19">
        <v>243.0</v>
      </c>
      <c r="B244" s="19">
        <v>235.0</v>
      </c>
      <c r="C244" s="19">
        <v>244.0</v>
      </c>
      <c r="D244" s="19" t="s">
        <v>372</v>
      </c>
      <c r="E244" s="19" t="s">
        <v>166</v>
      </c>
      <c r="F244" s="19" t="s">
        <v>54</v>
      </c>
      <c r="G244" s="21">
        <v>20.0</v>
      </c>
      <c r="H244" s="22">
        <v>74.8</v>
      </c>
    </row>
    <row r="245">
      <c r="A245" s="19">
        <v>244.0</v>
      </c>
      <c r="B245" s="19">
        <v>226.0</v>
      </c>
      <c r="C245" s="19">
        <v>235.0</v>
      </c>
      <c r="D245" s="19" t="s">
        <v>373</v>
      </c>
      <c r="E245" s="19" t="s">
        <v>144</v>
      </c>
      <c r="F245" s="19" t="s">
        <v>234</v>
      </c>
      <c r="G245" s="21">
        <v>6.0</v>
      </c>
      <c r="H245" s="22">
        <v>103.7</v>
      </c>
    </row>
    <row r="246">
      <c r="A246" s="19">
        <v>245.0</v>
      </c>
      <c r="B246" s="19">
        <v>267.0</v>
      </c>
      <c r="C246" s="19">
        <v>248.0</v>
      </c>
      <c r="D246" s="19" t="s">
        <v>374</v>
      </c>
      <c r="E246" s="19" t="s">
        <v>124</v>
      </c>
      <c r="F246" s="19" t="s">
        <v>23</v>
      </c>
      <c r="G246" s="21">
        <v>16.0</v>
      </c>
      <c r="H246" s="22">
        <v>88.3</v>
      </c>
    </row>
    <row r="247">
      <c r="A247" s="19">
        <v>246.0</v>
      </c>
      <c r="B247" s="19">
        <v>184.0</v>
      </c>
      <c r="C247" s="19">
        <v>260.0</v>
      </c>
      <c r="D247" s="19" t="s">
        <v>375</v>
      </c>
      <c r="E247" s="19" t="s">
        <v>62</v>
      </c>
      <c r="F247" s="19" t="s">
        <v>54</v>
      </c>
      <c r="G247" s="21">
        <v>21.0</v>
      </c>
      <c r="H247" s="22">
        <v>82.0</v>
      </c>
    </row>
    <row r="248">
      <c r="A248" s="19">
        <v>247.0</v>
      </c>
      <c r="B248" s="19">
        <v>260.0</v>
      </c>
      <c r="C248" s="19">
        <v>245.0</v>
      </c>
      <c r="D248" s="19" t="s">
        <v>376</v>
      </c>
      <c r="E248" s="19" t="s">
        <v>50</v>
      </c>
      <c r="F248" s="19" t="s">
        <v>19</v>
      </c>
      <c r="G248" s="21">
        <v>22.0</v>
      </c>
      <c r="H248" s="22">
        <v>83.8</v>
      </c>
    </row>
    <row r="249">
      <c r="A249" s="19">
        <v>248.0</v>
      </c>
      <c r="B249" s="19">
        <v>218.0</v>
      </c>
      <c r="C249" s="19">
        <v>258.0</v>
      </c>
      <c r="D249" s="19" t="s">
        <v>377</v>
      </c>
      <c r="E249" s="19" t="s">
        <v>70</v>
      </c>
      <c r="F249" s="19" t="s">
        <v>23</v>
      </c>
      <c r="G249" s="21">
        <v>17.0</v>
      </c>
      <c r="H249" s="22">
        <v>74.3</v>
      </c>
    </row>
    <row r="250">
      <c r="A250" s="19">
        <v>249.0</v>
      </c>
      <c r="B250" s="19">
        <v>228.0</v>
      </c>
      <c r="C250" s="19">
        <v>253.0</v>
      </c>
      <c r="D250" s="19" t="s">
        <v>378</v>
      </c>
      <c r="E250" s="19" t="s">
        <v>43</v>
      </c>
      <c r="F250" s="19" t="s">
        <v>40</v>
      </c>
      <c r="G250" s="21">
        <v>34.0</v>
      </c>
      <c r="H250" s="22">
        <v>70.7</v>
      </c>
    </row>
    <row r="251">
      <c r="A251" s="19">
        <v>250.0</v>
      </c>
      <c r="B251" s="19">
        <v>261.0</v>
      </c>
      <c r="C251" s="19">
        <v>246.0</v>
      </c>
      <c r="D251" s="19" t="s">
        <v>379</v>
      </c>
      <c r="E251" s="19" t="s">
        <v>245</v>
      </c>
      <c r="F251" s="19" t="s">
        <v>32</v>
      </c>
      <c r="G251" s="21">
        <v>29.0</v>
      </c>
      <c r="H251" s="22">
        <v>71.6</v>
      </c>
    </row>
    <row r="252">
      <c r="A252" s="19">
        <v>251.0</v>
      </c>
      <c r="B252" s="19">
        <v>272.0</v>
      </c>
      <c r="C252" s="19">
        <v>252.0</v>
      </c>
      <c r="D252" s="19" t="s">
        <v>380</v>
      </c>
      <c r="E252" s="19" t="s">
        <v>381</v>
      </c>
      <c r="F252" s="19" t="s">
        <v>23</v>
      </c>
      <c r="G252" s="21">
        <v>18.0</v>
      </c>
      <c r="H252" s="22">
        <v>89.7</v>
      </c>
    </row>
    <row r="253">
      <c r="A253" s="19">
        <v>252.0</v>
      </c>
      <c r="B253" s="19">
        <v>225.0</v>
      </c>
      <c r="C253" s="19">
        <v>256.0</v>
      </c>
      <c r="D253" s="19" t="s">
        <v>382</v>
      </c>
      <c r="E253" s="19" t="s">
        <v>166</v>
      </c>
      <c r="F253" s="19" t="s">
        <v>85</v>
      </c>
      <c r="G253" s="21">
        <v>10.0</v>
      </c>
      <c r="H253" s="22">
        <v>69.8</v>
      </c>
    </row>
    <row r="254">
      <c r="A254" s="19">
        <v>253.0</v>
      </c>
      <c r="B254" s="19">
        <v>236.0</v>
      </c>
      <c r="C254" s="19">
        <v>257.0</v>
      </c>
      <c r="D254" s="19" t="s">
        <v>383</v>
      </c>
      <c r="E254" s="19" t="s">
        <v>153</v>
      </c>
      <c r="F254" s="19" t="s">
        <v>40</v>
      </c>
      <c r="G254" s="21">
        <v>35.0</v>
      </c>
      <c r="H254" s="22">
        <v>85.2</v>
      </c>
    </row>
    <row r="255">
      <c r="A255" s="19">
        <v>254.0</v>
      </c>
      <c r="B255" s="19">
        <v>245.0</v>
      </c>
      <c r="C255" s="19">
        <v>261.0</v>
      </c>
      <c r="D255" s="19" t="s">
        <v>384</v>
      </c>
      <c r="E255" s="19" t="s">
        <v>223</v>
      </c>
      <c r="F255" s="19" t="s">
        <v>85</v>
      </c>
      <c r="G255" s="21">
        <v>11.0</v>
      </c>
      <c r="H255" s="22">
        <v>68.0</v>
      </c>
    </row>
    <row r="256">
      <c r="A256" s="19">
        <v>255.0</v>
      </c>
      <c r="B256" s="19">
        <v>290.0</v>
      </c>
      <c r="C256" s="19">
        <v>249.0</v>
      </c>
      <c r="D256" s="19" t="s">
        <v>385</v>
      </c>
      <c r="E256" s="19" t="s">
        <v>153</v>
      </c>
      <c r="F256" s="19" t="s">
        <v>26</v>
      </c>
      <c r="G256" s="21">
        <v>19.0</v>
      </c>
      <c r="H256" s="22">
        <v>69.3</v>
      </c>
    </row>
    <row r="257">
      <c r="A257" s="19">
        <v>256.0</v>
      </c>
      <c r="B257" s="19">
        <v>302.0</v>
      </c>
      <c r="C257" s="19">
        <v>240.0</v>
      </c>
      <c r="D257" s="19" t="s">
        <v>386</v>
      </c>
      <c r="E257" s="19" t="s">
        <v>43</v>
      </c>
      <c r="F257" s="19" t="s">
        <v>40</v>
      </c>
      <c r="G257" s="21">
        <v>36.0</v>
      </c>
      <c r="H257" s="22">
        <v>81.6</v>
      </c>
    </row>
    <row r="258">
      <c r="A258" s="19">
        <v>257.0</v>
      </c>
      <c r="B258" s="19">
        <v>314.0</v>
      </c>
      <c r="C258" s="19">
        <v>251.0</v>
      </c>
      <c r="D258" s="19" t="s">
        <v>387</v>
      </c>
      <c r="E258" s="19" t="s">
        <v>388</v>
      </c>
      <c r="F258" s="19" t="s">
        <v>40</v>
      </c>
      <c r="G258" s="21">
        <v>37.0</v>
      </c>
      <c r="H258" s="22">
        <v>83.8</v>
      </c>
    </row>
    <row r="259">
      <c r="A259" s="19">
        <v>258.0</v>
      </c>
      <c r="B259" s="19">
        <v>244.0</v>
      </c>
      <c r="C259" s="19">
        <v>255.0</v>
      </c>
      <c r="D259" s="19" t="s">
        <v>389</v>
      </c>
      <c r="E259" s="19" t="s">
        <v>204</v>
      </c>
      <c r="F259" s="19" t="s">
        <v>26</v>
      </c>
      <c r="G259" s="21">
        <v>20.0</v>
      </c>
      <c r="H259" s="22">
        <v>70.7</v>
      </c>
    </row>
    <row r="260">
      <c r="A260" s="19">
        <v>259.0</v>
      </c>
      <c r="B260" s="19">
        <v>233.0</v>
      </c>
      <c r="C260" s="19">
        <v>262.0</v>
      </c>
      <c r="D260" s="19" t="s">
        <v>390</v>
      </c>
      <c r="E260" s="19" t="s">
        <v>57</v>
      </c>
      <c r="F260" s="19" t="s">
        <v>91</v>
      </c>
      <c r="G260" s="21">
        <v>9.0</v>
      </c>
      <c r="H260" s="22">
        <v>77.9</v>
      </c>
    </row>
    <row r="261">
      <c r="A261" s="19">
        <v>260.0</v>
      </c>
      <c r="B261" s="19">
        <v>281.0</v>
      </c>
      <c r="C261" s="19">
        <v>259.0</v>
      </c>
      <c r="D261" s="19" t="s">
        <v>391</v>
      </c>
      <c r="E261" s="19" t="s">
        <v>82</v>
      </c>
      <c r="F261" s="19" t="s">
        <v>44</v>
      </c>
      <c r="G261" s="21">
        <v>28.0</v>
      </c>
      <c r="H261" s="22">
        <v>71.1</v>
      </c>
    </row>
    <row r="262">
      <c r="A262" s="19">
        <v>261.0</v>
      </c>
      <c r="B262" s="19">
        <v>321.0</v>
      </c>
      <c r="C262" s="19">
        <v>247.0</v>
      </c>
      <c r="D262" s="19" t="s">
        <v>392</v>
      </c>
      <c r="E262" s="19" t="s">
        <v>312</v>
      </c>
      <c r="F262" s="19" t="s">
        <v>40</v>
      </c>
      <c r="G262" s="21">
        <v>38.0</v>
      </c>
      <c r="H262" s="22">
        <v>65.7</v>
      </c>
    </row>
    <row r="263">
      <c r="A263" s="19">
        <v>262.0</v>
      </c>
      <c r="B263" s="19">
        <v>243.0</v>
      </c>
      <c r="C263" s="19">
        <v>266.0</v>
      </c>
      <c r="D263" s="19" t="s">
        <v>393</v>
      </c>
      <c r="E263" s="19" t="s">
        <v>112</v>
      </c>
      <c r="F263" s="19" t="s">
        <v>44</v>
      </c>
      <c r="G263" s="21">
        <v>29.0</v>
      </c>
      <c r="H263" s="22">
        <v>72.5</v>
      </c>
    </row>
    <row r="264">
      <c r="A264" s="19">
        <v>263.0</v>
      </c>
      <c r="B264" s="19">
        <v>254.0</v>
      </c>
      <c r="C264" s="19">
        <v>267.0</v>
      </c>
      <c r="D264" s="19" t="s">
        <v>394</v>
      </c>
      <c r="E264" s="19" t="s">
        <v>18</v>
      </c>
      <c r="F264" s="19" t="s">
        <v>26</v>
      </c>
      <c r="G264" s="21">
        <v>21.0</v>
      </c>
      <c r="H264" s="22">
        <v>72.1</v>
      </c>
    </row>
    <row r="265">
      <c r="A265" s="19">
        <v>264.0</v>
      </c>
      <c r="B265" s="19">
        <v>317.0</v>
      </c>
      <c r="C265" s="19">
        <v>264.0</v>
      </c>
      <c r="D265" s="19" t="s">
        <v>395</v>
      </c>
      <c r="E265" s="19" t="s">
        <v>245</v>
      </c>
      <c r="F265" s="19" t="s">
        <v>40</v>
      </c>
      <c r="G265" s="21">
        <v>39.0</v>
      </c>
      <c r="H265" s="22">
        <v>79.3</v>
      </c>
    </row>
    <row r="266">
      <c r="A266" s="19">
        <v>265.0</v>
      </c>
      <c r="B266" s="19">
        <v>259.0</v>
      </c>
      <c r="C266" s="19">
        <v>271.0</v>
      </c>
      <c r="D266" s="19" t="s">
        <v>396</v>
      </c>
      <c r="E266" s="19" t="s">
        <v>43</v>
      </c>
      <c r="F266" s="19" t="s">
        <v>40</v>
      </c>
      <c r="G266" s="21">
        <v>40.0</v>
      </c>
      <c r="H266" s="22">
        <v>68.0</v>
      </c>
    </row>
    <row r="267">
      <c r="A267" s="19">
        <v>266.0</v>
      </c>
      <c r="B267" s="19">
        <v>273.0</v>
      </c>
      <c r="C267" s="19">
        <v>270.0</v>
      </c>
      <c r="D267" s="19" t="s">
        <v>397</v>
      </c>
      <c r="E267" s="19" t="s">
        <v>398</v>
      </c>
      <c r="F267" s="19" t="s">
        <v>91</v>
      </c>
      <c r="G267" s="21">
        <v>10.0</v>
      </c>
      <c r="H267" s="22">
        <v>69.3</v>
      </c>
    </row>
    <row r="268">
      <c r="A268" s="19">
        <v>267.0</v>
      </c>
      <c r="B268" s="19">
        <v>286.0</v>
      </c>
      <c r="C268" s="19">
        <v>268.0</v>
      </c>
      <c r="D268" s="19" t="s">
        <v>399</v>
      </c>
      <c r="E268" s="19" t="s">
        <v>43</v>
      </c>
      <c r="F268" s="19" t="s">
        <v>32</v>
      </c>
      <c r="G268" s="21">
        <v>30.0</v>
      </c>
      <c r="H268" s="22">
        <v>73.9</v>
      </c>
    </row>
    <row r="269">
      <c r="A269" s="19">
        <v>268.0</v>
      </c>
      <c r="B269" s="19">
        <v>249.0</v>
      </c>
      <c r="C269" s="19">
        <v>283.0</v>
      </c>
      <c r="D269" s="19" t="s">
        <v>400</v>
      </c>
      <c r="E269" s="19" t="s">
        <v>50</v>
      </c>
      <c r="F269" s="19" t="s">
        <v>63</v>
      </c>
      <c r="G269" s="21">
        <v>21.0</v>
      </c>
      <c r="H269" s="22">
        <v>75.7</v>
      </c>
    </row>
    <row r="270">
      <c r="A270" s="19">
        <v>269.0</v>
      </c>
      <c r="B270" s="19">
        <v>292.0</v>
      </c>
      <c r="C270" s="19">
        <v>263.0</v>
      </c>
      <c r="D270" s="19" t="s">
        <v>401</v>
      </c>
      <c r="E270" s="19" t="s">
        <v>137</v>
      </c>
      <c r="F270" s="19" t="s">
        <v>234</v>
      </c>
      <c r="G270" s="21">
        <v>7.0</v>
      </c>
      <c r="H270" s="22">
        <v>107.3</v>
      </c>
    </row>
    <row r="271">
      <c r="A271" s="19">
        <v>270.0</v>
      </c>
      <c r="B271" s="19">
        <v>276.0</v>
      </c>
      <c r="C271" s="19">
        <v>277.0</v>
      </c>
      <c r="D271" s="19" t="s">
        <v>402</v>
      </c>
      <c r="E271" s="19" t="s">
        <v>62</v>
      </c>
      <c r="F271" s="19" t="s">
        <v>23</v>
      </c>
      <c r="G271" s="21">
        <v>19.0</v>
      </c>
      <c r="H271" s="22">
        <v>67.1</v>
      </c>
    </row>
    <row r="272">
      <c r="A272" s="19">
        <v>271.0</v>
      </c>
      <c r="B272" s="19">
        <v>257.0</v>
      </c>
      <c r="C272" s="19">
        <v>278.0</v>
      </c>
      <c r="D272" s="19" t="s">
        <v>403</v>
      </c>
      <c r="E272" s="19" t="s">
        <v>119</v>
      </c>
      <c r="F272" s="19" t="s">
        <v>23</v>
      </c>
      <c r="G272" s="21">
        <v>20.0</v>
      </c>
      <c r="H272" s="22">
        <v>72.1</v>
      </c>
    </row>
    <row r="273">
      <c r="A273" s="19">
        <v>272.0</v>
      </c>
      <c r="B273" s="19">
        <v>313.0</v>
      </c>
      <c r="C273" s="19">
        <v>272.0</v>
      </c>
      <c r="D273" s="19" t="s">
        <v>404</v>
      </c>
      <c r="E273" s="19" t="s">
        <v>158</v>
      </c>
      <c r="F273" s="19" t="s">
        <v>23</v>
      </c>
      <c r="G273" s="21">
        <v>21.0</v>
      </c>
      <c r="H273" s="22">
        <v>68.0</v>
      </c>
    </row>
    <row r="274">
      <c r="A274" s="19">
        <v>273.0</v>
      </c>
      <c r="B274" s="19">
        <v>284.0</v>
      </c>
      <c r="C274" s="19">
        <v>269.0</v>
      </c>
      <c r="D274" s="19" t="s">
        <v>405</v>
      </c>
      <c r="E274" s="19" t="s">
        <v>124</v>
      </c>
      <c r="F274" s="19" t="s">
        <v>63</v>
      </c>
      <c r="G274" s="21">
        <v>22.0</v>
      </c>
      <c r="H274" s="22">
        <v>76.1</v>
      </c>
    </row>
    <row r="275">
      <c r="A275" s="19">
        <v>274.0</v>
      </c>
      <c r="B275" s="19">
        <v>349.0</v>
      </c>
      <c r="C275" s="19">
        <v>265.0</v>
      </c>
      <c r="D275" s="19" t="s">
        <v>406</v>
      </c>
      <c r="E275" s="19" t="s">
        <v>53</v>
      </c>
      <c r="F275" s="19" t="s">
        <v>38</v>
      </c>
      <c r="G275" s="21">
        <v>20.0</v>
      </c>
      <c r="H275" s="22">
        <v>77.9</v>
      </c>
    </row>
    <row r="276">
      <c r="A276" s="19">
        <v>275.0</v>
      </c>
      <c r="B276" s="19">
        <v>258.0</v>
      </c>
      <c r="C276" s="19">
        <v>279.0</v>
      </c>
      <c r="D276" s="19" t="s">
        <v>407</v>
      </c>
      <c r="E276" s="19" t="s">
        <v>166</v>
      </c>
      <c r="F276" s="19" t="s">
        <v>19</v>
      </c>
      <c r="G276" s="21">
        <v>23.0</v>
      </c>
      <c r="H276" s="22">
        <v>64.8</v>
      </c>
    </row>
    <row r="277">
      <c r="A277" s="19">
        <v>276.0</v>
      </c>
      <c r="B277" s="19">
        <v>237.0</v>
      </c>
      <c r="C277" s="19">
        <v>290.0</v>
      </c>
      <c r="D277" s="19" t="s">
        <v>408</v>
      </c>
      <c r="E277" s="19" t="s">
        <v>202</v>
      </c>
      <c r="F277" s="19" t="s">
        <v>40</v>
      </c>
      <c r="G277" s="21">
        <v>41.0</v>
      </c>
      <c r="H277" s="22">
        <v>72.5</v>
      </c>
    </row>
    <row r="278">
      <c r="A278" s="19">
        <v>277.0</v>
      </c>
      <c r="B278" s="19">
        <v>306.0</v>
      </c>
      <c r="C278" s="19">
        <v>273.0</v>
      </c>
      <c r="D278" s="19" t="s">
        <v>409</v>
      </c>
      <c r="E278" s="19" t="s">
        <v>142</v>
      </c>
      <c r="F278" s="19" t="s">
        <v>15</v>
      </c>
      <c r="G278" s="21">
        <v>11.0</v>
      </c>
      <c r="H278" s="22">
        <v>72.9</v>
      </c>
    </row>
    <row r="279">
      <c r="A279" s="19">
        <v>278.0</v>
      </c>
      <c r="B279" s="19">
        <v>234.0</v>
      </c>
      <c r="C279" s="19">
        <v>289.0</v>
      </c>
      <c r="D279" s="19" t="s">
        <v>410</v>
      </c>
      <c r="E279" s="19" t="s">
        <v>270</v>
      </c>
      <c r="F279" s="19" t="s">
        <v>44</v>
      </c>
      <c r="G279" s="21">
        <v>30.0</v>
      </c>
      <c r="H279" s="22">
        <v>91.5</v>
      </c>
    </row>
    <row r="280">
      <c r="A280" s="19">
        <v>279.0</v>
      </c>
      <c r="B280" s="19">
        <v>283.0</v>
      </c>
      <c r="C280" s="19">
        <v>276.0</v>
      </c>
      <c r="D280" s="19" t="s">
        <v>411</v>
      </c>
      <c r="E280" s="19" t="s">
        <v>144</v>
      </c>
      <c r="F280" s="19" t="s">
        <v>15</v>
      </c>
      <c r="G280" s="21">
        <v>12.0</v>
      </c>
      <c r="H280" s="22">
        <v>67.1</v>
      </c>
    </row>
    <row r="281">
      <c r="A281" s="19">
        <v>280.0</v>
      </c>
      <c r="B281" s="19">
        <v>246.0</v>
      </c>
      <c r="C281" s="19">
        <v>287.0</v>
      </c>
      <c r="D281" s="19" t="s">
        <v>412</v>
      </c>
      <c r="E281" s="19" t="s">
        <v>413</v>
      </c>
      <c r="F281" s="19" t="s">
        <v>38</v>
      </c>
      <c r="G281" s="21">
        <v>21.0</v>
      </c>
      <c r="H281" s="22">
        <v>80.2</v>
      </c>
    </row>
    <row r="282">
      <c r="A282" s="19">
        <v>281.0</v>
      </c>
      <c r="B282" s="19">
        <v>223.0</v>
      </c>
      <c r="C282" s="19">
        <v>292.0</v>
      </c>
      <c r="D282" s="19" t="s">
        <v>414</v>
      </c>
      <c r="E282" s="19" t="s">
        <v>75</v>
      </c>
      <c r="F282" s="19" t="s">
        <v>19</v>
      </c>
      <c r="G282" s="21">
        <v>24.0</v>
      </c>
      <c r="H282" s="22">
        <v>72.9</v>
      </c>
    </row>
    <row r="283">
      <c r="A283" s="19">
        <v>282.0</v>
      </c>
      <c r="B283" s="19">
        <v>304.0</v>
      </c>
      <c r="C283" s="19">
        <v>275.0</v>
      </c>
      <c r="D283" s="19" t="s">
        <v>415</v>
      </c>
      <c r="E283" s="19" t="s">
        <v>370</v>
      </c>
      <c r="F283" s="19" t="s">
        <v>40</v>
      </c>
      <c r="G283" s="21">
        <v>42.0</v>
      </c>
      <c r="H283" s="22">
        <v>71.6</v>
      </c>
    </row>
    <row r="284">
      <c r="A284" s="19">
        <v>283.0</v>
      </c>
      <c r="B284" s="19">
        <v>325.0</v>
      </c>
      <c r="C284" s="19">
        <v>274.0</v>
      </c>
      <c r="D284" s="19" t="s">
        <v>416</v>
      </c>
      <c r="E284" s="19" t="s">
        <v>312</v>
      </c>
      <c r="F284" s="19" t="s">
        <v>63</v>
      </c>
      <c r="G284" s="21">
        <v>23.0</v>
      </c>
      <c r="H284" s="22">
        <v>131.7</v>
      </c>
    </row>
    <row r="285">
      <c r="A285" s="19">
        <v>284.0</v>
      </c>
      <c r="B285" s="19">
        <v>305.0</v>
      </c>
      <c r="C285" s="19">
        <v>281.0</v>
      </c>
      <c r="D285" s="19" t="s">
        <v>417</v>
      </c>
      <c r="E285" s="19" t="s">
        <v>418</v>
      </c>
      <c r="F285" s="19" t="s">
        <v>19</v>
      </c>
      <c r="G285" s="21">
        <v>25.0</v>
      </c>
      <c r="H285" s="22">
        <v>90.6</v>
      </c>
    </row>
    <row r="286">
      <c r="A286" s="19">
        <v>285.0</v>
      </c>
      <c r="B286" s="19">
        <v>291.0</v>
      </c>
      <c r="C286" s="19">
        <v>284.0</v>
      </c>
      <c r="D286" s="19" t="s">
        <v>419</v>
      </c>
      <c r="E286" s="19" t="s">
        <v>340</v>
      </c>
      <c r="F286" s="19" t="s">
        <v>54</v>
      </c>
      <c r="G286" s="21">
        <v>22.0</v>
      </c>
      <c r="H286" s="22">
        <v>81.5</v>
      </c>
    </row>
    <row r="287">
      <c r="A287" s="19">
        <v>286.0</v>
      </c>
      <c r="B287" s="19">
        <v>318.0</v>
      </c>
      <c r="C287" s="19">
        <v>280.0</v>
      </c>
      <c r="D287" s="19" t="s">
        <v>420</v>
      </c>
      <c r="E287" s="19" t="s">
        <v>153</v>
      </c>
      <c r="F287" s="19" t="s">
        <v>85</v>
      </c>
      <c r="G287" s="21">
        <v>12.0</v>
      </c>
      <c r="H287" s="22">
        <v>87.4</v>
      </c>
    </row>
    <row r="288">
      <c r="A288" s="19">
        <v>287.0</v>
      </c>
      <c r="B288" s="19">
        <v>287.0</v>
      </c>
      <c r="C288" s="19">
        <v>293.0</v>
      </c>
      <c r="D288" s="19" t="s">
        <v>421</v>
      </c>
      <c r="E288" s="19" t="s">
        <v>67</v>
      </c>
      <c r="F288" s="19" t="s">
        <v>40</v>
      </c>
      <c r="G288" s="21">
        <v>43.0</v>
      </c>
      <c r="H288" s="22">
        <v>68.4</v>
      </c>
    </row>
    <row r="289">
      <c r="A289" s="19">
        <v>288.0</v>
      </c>
      <c r="B289" s="19">
        <v>277.0</v>
      </c>
      <c r="C289" s="19">
        <v>291.0</v>
      </c>
      <c r="D289" s="19" t="s">
        <v>422</v>
      </c>
      <c r="E289" s="19" t="s">
        <v>212</v>
      </c>
      <c r="F289" s="19" t="s">
        <v>85</v>
      </c>
      <c r="G289" s="21">
        <v>13.0</v>
      </c>
      <c r="H289" s="22">
        <v>75.2</v>
      </c>
    </row>
    <row r="290">
      <c r="A290" s="19">
        <v>289.0</v>
      </c>
      <c r="B290" s="19">
        <v>296.0</v>
      </c>
      <c r="C290" s="19">
        <v>286.0</v>
      </c>
      <c r="D290" s="19" t="s">
        <v>423</v>
      </c>
      <c r="E290" s="19" t="s">
        <v>424</v>
      </c>
      <c r="F290" s="19" t="s">
        <v>32</v>
      </c>
      <c r="G290" s="21">
        <v>31.0</v>
      </c>
      <c r="H290" s="22">
        <v>92.4</v>
      </c>
    </row>
    <row r="291">
      <c r="A291" s="19">
        <v>290.0</v>
      </c>
      <c r="B291" s="19">
        <v>280.0</v>
      </c>
      <c r="C291" s="19">
        <v>285.0</v>
      </c>
      <c r="D291" s="19" t="s">
        <v>425</v>
      </c>
      <c r="E291" s="19" t="s">
        <v>128</v>
      </c>
      <c r="F291" s="19" t="s">
        <v>32</v>
      </c>
      <c r="G291" s="21">
        <v>32.0</v>
      </c>
      <c r="H291" s="22">
        <v>89.2</v>
      </c>
    </row>
    <row r="292">
      <c r="A292" s="19">
        <v>291.0</v>
      </c>
      <c r="B292" s="19">
        <v>326.0</v>
      </c>
      <c r="C292" s="19">
        <v>282.0</v>
      </c>
      <c r="D292" s="19" t="s">
        <v>426</v>
      </c>
      <c r="E292" s="19" t="s">
        <v>284</v>
      </c>
      <c r="F292" s="19" t="s">
        <v>44</v>
      </c>
      <c r="G292" s="21">
        <v>31.0</v>
      </c>
      <c r="H292" s="22">
        <v>106.4</v>
      </c>
    </row>
    <row r="293">
      <c r="A293" s="19">
        <v>292.0</v>
      </c>
      <c r="B293" s="19">
        <v>353.0</v>
      </c>
      <c r="C293" s="19">
        <v>288.0</v>
      </c>
      <c r="D293" s="19" t="s">
        <v>427</v>
      </c>
      <c r="E293" s="19" t="s">
        <v>413</v>
      </c>
      <c r="F293" s="19" t="s">
        <v>15</v>
      </c>
      <c r="G293" s="21">
        <v>13.0</v>
      </c>
      <c r="H293" s="22">
        <v>63.9</v>
      </c>
    </row>
    <row r="294">
      <c r="A294" s="19">
        <v>293.0</v>
      </c>
      <c r="B294" s="19">
        <v>268.0</v>
      </c>
      <c r="C294" s="19">
        <v>298.0</v>
      </c>
      <c r="D294" s="19" t="s">
        <v>428</v>
      </c>
      <c r="E294" s="19" t="s">
        <v>35</v>
      </c>
      <c r="F294" s="19" t="s">
        <v>15</v>
      </c>
      <c r="G294" s="21">
        <v>14.0</v>
      </c>
      <c r="H294" s="22">
        <v>61.2</v>
      </c>
    </row>
    <row r="295">
      <c r="A295" s="19">
        <v>294.0</v>
      </c>
      <c r="B295" s="19">
        <v>327.0</v>
      </c>
      <c r="C295" s="19">
        <v>294.0</v>
      </c>
      <c r="D295" s="19" t="s">
        <v>429</v>
      </c>
      <c r="E295" s="19" t="s">
        <v>31</v>
      </c>
      <c r="F295" s="19" t="s">
        <v>170</v>
      </c>
      <c r="G295" s="21">
        <v>11.0</v>
      </c>
      <c r="H295" s="22">
        <v>61.2</v>
      </c>
    </row>
    <row r="296">
      <c r="A296" s="19">
        <v>295.0</v>
      </c>
      <c r="B296" s="19">
        <v>263.0</v>
      </c>
      <c r="C296" s="19">
        <v>309.0</v>
      </c>
      <c r="D296" s="19" t="s">
        <v>430</v>
      </c>
      <c r="E296" s="19" t="s">
        <v>80</v>
      </c>
      <c r="F296" s="19" t="s">
        <v>19</v>
      </c>
      <c r="G296" s="21">
        <v>26.0</v>
      </c>
      <c r="H296" s="22">
        <v>61.7</v>
      </c>
    </row>
    <row r="297">
      <c r="A297" s="19">
        <v>296.0</v>
      </c>
      <c r="B297" s="19">
        <v>270.0</v>
      </c>
      <c r="C297" s="19">
        <v>296.0</v>
      </c>
      <c r="D297" s="19" t="s">
        <v>431</v>
      </c>
      <c r="E297" s="19" t="s">
        <v>82</v>
      </c>
      <c r="F297" s="19" t="s">
        <v>44</v>
      </c>
      <c r="G297" s="21">
        <v>32.0</v>
      </c>
      <c r="H297" s="22">
        <v>72.5</v>
      </c>
    </row>
    <row r="298">
      <c r="A298" s="19">
        <v>297.0</v>
      </c>
      <c r="B298" s="19">
        <v>255.0</v>
      </c>
      <c r="C298" s="19">
        <v>304.0</v>
      </c>
      <c r="D298" s="19" t="s">
        <v>432</v>
      </c>
      <c r="E298" s="19" t="s">
        <v>175</v>
      </c>
      <c r="F298" s="19" t="s">
        <v>19</v>
      </c>
      <c r="G298" s="21">
        <v>27.0</v>
      </c>
      <c r="H298" s="22">
        <v>67.1</v>
      </c>
    </row>
    <row r="299">
      <c r="A299" s="19">
        <v>298.0</v>
      </c>
      <c r="B299" s="19">
        <v>337.0</v>
      </c>
      <c r="C299" s="19">
        <v>297.0</v>
      </c>
      <c r="D299" s="19" t="s">
        <v>433</v>
      </c>
      <c r="E299" s="19" t="s">
        <v>22</v>
      </c>
      <c r="F299" s="19" t="s">
        <v>26</v>
      </c>
      <c r="G299" s="21">
        <v>22.0</v>
      </c>
      <c r="H299" s="22">
        <v>78.8</v>
      </c>
    </row>
    <row r="300">
      <c r="A300" s="19">
        <v>299.0</v>
      </c>
      <c r="B300" s="19">
        <v>266.0</v>
      </c>
      <c r="C300" s="19">
        <v>306.0</v>
      </c>
      <c r="D300" s="19" t="s">
        <v>434</v>
      </c>
      <c r="E300" s="19" t="s">
        <v>43</v>
      </c>
      <c r="F300" s="19" t="s">
        <v>32</v>
      </c>
      <c r="G300" s="21">
        <v>33.0</v>
      </c>
      <c r="H300" s="22">
        <v>61.2</v>
      </c>
    </row>
    <row r="301">
      <c r="A301" s="19">
        <v>300.0</v>
      </c>
      <c r="B301" s="19">
        <v>298.0</v>
      </c>
      <c r="C301" s="19">
        <v>301.0</v>
      </c>
      <c r="D301" s="19" t="s">
        <v>435</v>
      </c>
      <c r="E301" s="19" t="s">
        <v>310</v>
      </c>
      <c r="F301" s="19" t="s">
        <v>40</v>
      </c>
      <c r="G301" s="21">
        <v>44.0</v>
      </c>
      <c r="H301" s="22">
        <v>61.2</v>
      </c>
    </row>
    <row r="302">
      <c r="A302" s="19">
        <v>301.0</v>
      </c>
      <c r="B302" s="19">
        <v>303.0</v>
      </c>
      <c r="C302" s="19">
        <v>299.0</v>
      </c>
      <c r="D302" s="19" t="s">
        <v>436</v>
      </c>
      <c r="E302" s="19" t="s">
        <v>153</v>
      </c>
      <c r="F302" s="19" t="s">
        <v>19</v>
      </c>
      <c r="G302" s="21">
        <v>28.0</v>
      </c>
      <c r="H302" s="22">
        <v>72.0</v>
      </c>
    </row>
    <row r="303">
      <c r="A303" s="19">
        <v>302.0</v>
      </c>
      <c r="B303" s="19">
        <v>343.0</v>
      </c>
      <c r="C303" s="19">
        <v>303.0</v>
      </c>
      <c r="D303" s="19" t="s">
        <v>478</v>
      </c>
      <c r="E303" s="19" t="s">
        <v>212</v>
      </c>
      <c r="F303" s="19" t="s">
        <v>54</v>
      </c>
      <c r="G303" s="21">
        <v>23.0</v>
      </c>
      <c r="H303" s="22">
        <v>64.8</v>
      </c>
    </row>
    <row r="304">
      <c r="A304" s="19">
        <v>303.0</v>
      </c>
      <c r="B304" s="19">
        <v>275.0</v>
      </c>
      <c r="C304" s="19">
        <v>314.0</v>
      </c>
      <c r="D304" s="19" t="s">
        <v>437</v>
      </c>
      <c r="E304" s="19" t="s">
        <v>438</v>
      </c>
      <c r="F304" s="19" t="s">
        <v>32</v>
      </c>
      <c r="G304" s="21">
        <v>34.0</v>
      </c>
      <c r="H304" s="22">
        <v>81.1</v>
      </c>
    </row>
    <row r="305">
      <c r="A305" s="19">
        <v>304.0</v>
      </c>
      <c r="B305" s="19">
        <v>310.0</v>
      </c>
      <c r="C305" s="19">
        <v>308.0</v>
      </c>
      <c r="D305" s="19" t="s">
        <v>479</v>
      </c>
      <c r="E305" s="19" t="s">
        <v>144</v>
      </c>
      <c r="F305" s="19" t="s">
        <v>44</v>
      </c>
      <c r="G305" s="21">
        <v>33.0</v>
      </c>
      <c r="H305" s="22">
        <v>64.4</v>
      </c>
    </row>
    <row r="306">
      <c r="A306" s="19">
        <v>305.0</v>
      </c>
      <c r="B306" s="19">
        <v>279.0</v>
      </c>
      <c r="C306" s="19">
        <v>316.0</v>
      </c>
      <c r="D306" s="19" t="s">
        <v>480</v>
      </c>
      <c r="E306" s="19" t="s">
        <v>175</v>
      </c>
      <c r="F306" s="19" t="s">
        <v>63</v>
      </c>
      <c r="G306" s="21">
        <v>24.0</v>
      </c>
      <c r="H306" s="22">
        <v>64.4</v>
      </c>
    </row>
    <row r="307">
      <c r="A307" s="19">
        <v>306.0</v>
      </c>
      <c r="B307" s="19">
        <v>288.0</v>
      </c>
      <c r="C307" s="19">
        <v>319.0</v>
      </c>
      <c r="D307" s="19" t="s">
        <v>481</v>
      </c>
      <c r="E307" s="19" t="s">
        <v>82</v>
      </c>
      <c r="F307" s="19" t="s">
        <v>23</v>
      </c>
      <c r="G307" s="21">
        <v>22.0</v>
      </c>
      <c r="H307" s="22">
        <v>68.4</v>
      </c>
    </row>
    <row r="308">
      <c r="A308" s="19">
        <v>307.0</v>
      </c>
      <c r="B308" s="19">
        <v>367.0</v>
      </c>
      <c r="C308" s="19">
        <v>300.0</v>
      </c>
      <c r="D308" s="19" t="s">
        <v>482</v>
      </c>
      <c r="E308" s="19" t="s">
        <v>370</v>
      </c>
      <c r="F308" s="19" t="s">
        <v>26</v>
      </c>
      <c r="G308" s="21">
        <v>23.0</v>
      </c>
      <c r="H308" s="22">
        <v>92.4</v>
      </c>
    </row>
    <row r="309">
      <c r="A309" s="19">
        <v>308.0</v>
      </c>
      <c r="B309" s="19">
        <v>319.0</v>
      </c>
      <c r="C309" s="19">
        <v>311.0</v>
      </c>
      <c r="D309" s="19" t="s">
        <v>483</v>
      </c>
      <c r="E309" s="19" t="s">
        <v>370</v>
      </c>
      <c r="F309" s="19" t="s">
        <v>63</v>
      </c>
      <c r="G309" s="21">
        <v>25.0</v>
      </c>
      <c r="H309" s="22">
        <v>63.5</v>
      </c>
    </row>
    <row r="310">
      <c r="A310" s="19">
        <v>309.0</v>
      </c>
      <c r="B310" s="19">
        <v>322.0</v>
      </c>
      <c r="C310" s="19">
        <v>318.0</v>
      </c>
      <c r="D310" s="19" t="s">
        <v>439</v>
      </c>
      <c r="E310" s="19" t="s">
        <v>216</v>
      </c>
      <c r="F310" s="19" t="s">
        <v>63</v>
      </c>
      <c r="G310" s="21">
        <v>26.0</v>
      </c>
      <c r="H310" s="22">
        <v>74.3</v>
      </c>
    </row>
    <row r="311">
      <c r="A311" s="19">
        <v>310.0</v>
      </c>
      <c r="B311" s="19">
        <v>338.0</v>
      </c>
      <c r="C311" s="19">
        <v>315.0</v>
      </c>
      <c r="D311" s="19" t="s">
        <v>484</v>
      </c>
      <c r="E311" s="19" t="s">
        <v>126</v>
      </c>
      <c r="F311" s="19" t="s">
        <v>32</v>
      </c>
      <c r="G311" s="21">
        <v>35.0</v>
      </c>
      <c r="H311" s="22">
        <v>62.6</v>
      </c>
    </row>
    <row r="312">
      <c r="A312" s="19">
        <v>311.0</v>
      </c>
      <c r="B312" s="19">
        <v>307.0</v>
      </c>
      <c r="C312" s="19">
        <v>320.0</v>
      </c>
      <c r="D312" s="19" t="s">
        <v>485</v>
      </c>
      <c r="E312" s="19" t="s">
        <v>182</v>
      </c>
      <c r="F312" s="19" t="s">
        <v>15</v>
      </c>
      <c r="G312" s="21">
        <v>15.0</v>
      </c>
      <c r="H312" s="22">
        <v>63.0</v>
      </c>
    </row>
    <row r="313">
      <c r="A313" s="19">
        <v>312.0</v>
      </c>
      <c r="B313" s="19">
        <v>374.0</v>
      </c>
      <c r="C313" s="19">
        <v>305.0</v>
      </c>
      <c r="D313" s="19" t="s">
        <v>486</v>
      </c>
      <c r="E313" s="19" t="s">
        <v>130</v>
      </c>
      <c r="F313" s="19" t="s">
        <v>234</v>
      </c>
      <c r="G313" s="21">
        <v>8.0</v>
      </c>
      <c r="H313" s="22">
        <v>73.8</v>
      </c>
    </row>
    <row r="314">
      <c r="A314" s="19">
        <v>313.0</v>
      </c>
      <c r="B314" s="19">
        <v>332.0</v>
      </c>
      <c r="C314" s="19">
        <v>307.0</v>
      </c>
      <c r="D314" s="19" t="s">
        <v>487</v>
      </c>
      <c r="E314" s="19" t="s">
        <v>57</v>
      </c>
      <c r="F314" s="19" t="s">
        <v>63</v>
      </c>
      <c r="G314" s="21">
        <v>27.0</v>
      </c>
      <c r="H314" s="22">
        <v>67.5</v>
      </c>
    </row>
    <row r="315">
      <c r="A315" s="19">
        <v>314.0</v>
      </c>
      <c r="B315" s="19">
        <v>250.0</v>
      </c>
      <c r="C315" s="19">
        <v>352.0</v>
      </c>
      <c r="D315" s="19" t="s">
        <v>488</v>
      </c>
      <c r="E315" s="19" t="s">
        <v>67</v>
      </c>
      <c r="F315" s="19" t="s">
        <v>454</v>
      </c>
      <c r="G315" s="21">
        <v>1.0</v>
      </c>
      <c r="H315" s="22">
        <v>95.1</v>
      </c>
    </row>
    <row r="316">
      <c r="A316" s="19">
        <v>315.0</v>
      </c>
      <c r="B316" s="19">
        <v>274.0</v>
      </c>
      <c r="C316" s="19">
        <v>326.0</v>
      </c>
      <c r="D316" s="19" t="s">
        <v>440</v>
      </c>
      <c r="E316" s="19" t="s">
        <v>156</v>
      </c>
      <c r="F316" s="19" t="s">
        <v>54</v>
      </c>
      <c r="G316" s="21">
        <v>24.0</v>
      </c>
      <c r="H316" s="22">
        <v>72.5</v>
      </c>
    </row>
    <row r="317">
      <c r="A317" s="19">
        <v>316.0</v>
      </c>
      <c r="B317" s="19">
        <v>401.0</v>
      </c>
      <c r="C317" s="19">
        <v>322.0</v>
      </c>
      <c r="D317" s="19" t="s">
        <v>489</v>
      </c>
      <c r="E317" s="19" t="s">
        <v>490</v>
      </c>
      <c r="F317" s="19" t="s">
        <v>44</v>
      </c>
      <c r="G317" s="21">
        <v>34.0</v>
      </c>
      <c r="H317" s="22">
        <v>83.8</v>
      </c>
    </row>
    <row r="318">
      <c r="A318" s="19">
        <v>317.0</v>
      </c>
      <c r="B318" s="19">
        <v>282.0</v>
      </c>
      <c r="C318" s="19">
        <v>310.0</v>
      </c>
      <c r="D318" s="19" t="s">
        <v>441</v>
      </c>
      <c r="E318" s="19" t="s">
        <v>150</v>
      </c>
      <c r="F318" s="19" t="s">
        <v>442</v>
      </c>
      <c r="G318" s="21">
        <v>1.0</v>
      </c>
      <c r="H318" s="22">
        <v>71.6</v>
      </c>
    </row>
    <row r="319">
      <c r="A319" s="19">
        <v>318.0</v>
      </c>
      <c r="B319" s="19">
        <v>324.0</v>
      </c>
      <c r="C319" s="19">
        <v>338.0</v>
      </c>
      <c r="D319" s="19" t="s">
        <v>491</v>
      </c>
      <c r="E319" s="19" t="s">
        <v>18</v>
      </c>
      <c r="F319" s="19" t="s">
        <v>23</v>
      </c>
      <c r="G319" s="21">
        <v>23.0</v>
      </c>
      <c r="H319" s="22">
        <v>59.4</v>
      </c>
    </row>
    <row r="320">
      <c r="A320" s="19">
        <v>319.0</v>
      </c>
      <c r="B320" s="19">
        <v>309.0</v>
      </c>
      <c r="C320" s="19">
        <v>323.0</v>
      </c>
      <c r="D320" s="19" t="s">
        <v>492</v>
      </c>
      <c r="E320" s="19" t="s">
        <v>493</v>
      </c>
      <c r="F320" s="19" t="s">
        <v>91</v>
      </c>
      <c r="G320" s="21">
        <v>11.0</v>
      </c>
      <c r="H320" s="22">
        <v>65.7</v>
      </c>
    </row>
    <row r="321">
      <c r="A321" s="19">
        <v>320.0</v>
      </c>
      <c r="B321" s="19">
        <v>413.0</v>
      </c>
      <c r="C321" s="19">
        <v>302.0</v>
      </c>
      <c r="D321" s="19" t="s">
        <v>494</v>
      </c>
      <c r="E321" s="19" t="s">
        <v>128</v>
      </c>
      <c r="F321" s="19" t="s">
        <v>91</v>
      </c>
      <c r="G321" s="21">
        <v>12.0</v>
      </c>
      <c r="H321" s="22">
        <v>98.7</v>
      </c>
    </row>
    <row r="322">
      <c r="A322" s="19">
        <v>321.0</v>
      </c>
      <c r="B322" s="19">
        <v>346.0</v>
      </c>
      <c r="C322" s="19">
        <v>334.0</v>
      </c>
      <c r="D322" s="19" t="s">
        <v>495</v>
      </c>
      <c r="E322" s="19" t="s">
        <v>413</v>
      </c>
      <c r="F322" s="19" t="s">
        <v>170</v>
      </c>
      <c r="G322" s="21">
        <v>12.0</v>
      </c>
      <c r="H322" s="22">
        <v>69.3</v>
      </c>
    </row>
    <row r="323">
      <c r="A323" s="19">
        <v>322.0</v>
      </c>
      <c r="B323" s="19">
        <v>437.0</v>
      </c>
      <c r="C323" s="19">
        <v>295.0</v>
      </c>
      <c r="D323" s="19" t="s">
        <v>496</v>
      </c>
      <c r="E323" s="19" t="s">
        <v>75</v>
      </c>
      <c r="F323" s="19" t="s">
        <v>38</v>
      </c>
      <c r="G323" s="21">
        <v>22.0</v>
      </c>
      <c r="H323" s="22">
        <v>78.8</v>
      </c>
    </row>
    <row r="324">
      <c r="A324" s="19">
        <v>323.0</v>
      </c>
      <c r="B324" s="19">
        <v>348.0</v>
      </c>
      <c r="C324" s="19">
        <v>313.0</v>
      </c>
      <c r="D324" s="19" t="s">
        <v>497</v>
      </c>
      <c r="E324" s="19" t="s">
        <v>128</v>
      </c>
      <c r="F324" s="19" t="s">
        <v>44</v>
      </c>
      <c r="G324" s="21">
        <v>35.0</v>
      </c>
      <c r="H324" s="22">
        <v>67.1</v>
      </c>
    </row>
    <row r="325">
      <c r="A325" s="19">
        <v>325.0</v>
      </c>
      <c r="B325" s="19">
        <v>359.0</v>
      </c>
      <c r="C325" s="19">
        <v>327.0</v>
      </c>
      <c r="D325" s="19" t="s">
        <v>498</v>
      </c>
      <c r="E325" s="19" t="s">
        <v>310</v>
      </c>
      <c r="F325" s="19" t="s">
        <v>38</v>
      </c>
      <c r="G325" s="21">
        <v>24.0</v>
      </c>
      <c r="H325" s="22">
        <v>67.5</v>
      </c>
    </row>
    <row r="326">
      <c r="A326" s="19">
        <v>324.0</v>
      </c>
      <c r="B326" s="19">
        <v>285.0</v>
      </c>
      <c r="C326" s="19">
        <v>337.0</v>
      </c>
      <c r="D326" s="19" t="s">
        <v>499</v>
      </c>
      <c r="E326" s="19" t="s">
        <v>308</v>
      </c>
      <c r="F326" s="19" t="s">
        <v>38</v>
      </c>
      <c r="G326" s="21">
        <v>23.0</v>
      </c>
      <c r="H326" s="22">
        <v>65.3</v>
      </c>
    </row>
    <row r="327">
      <c r="A327" s="19">
        <v>326.0</v>
      </c>
      <c r="B327" s="19">
        <v>320.0</v>
      </c>
      <c r="C327" s="19">
        <v>343.0</v>
      </c>
      <c r="D327" s="19" t="s">
        <v>443</v>
      </c>
      <c r="E327" s="19" t="s">
        <v>227</v>
      </c>
      <c r="F327" s="19" t="s">
        <v>234</v>
      </c>
      <c r="G327" s="21">
        <v>9.0</v>
      </c>
      <c r="H327" s="22">
        <v>67.1</v>
      </c>
    </row>
    <row r="328">
      <c r="A328" s="19">
        <v>327.0</v>
      </c>
      <c r="B328" s="19">
        <v>464.0</v>
      </c>
      <c r="C328" s="19">
        <v>321.0</v>
      </c>
      <c r="D328" s="19" t="s">
        <v>500</v>
      </c>
      <c r="E328" s="19" t="s">
        <v>501</v>
      </c>
      <c r="F328" s="19" t="s">
        <v>23</v>
      </c>
      <c r="G328" s="21">
        <v>24.0</v>
      </c>
      <c r="H328" s="22">
        <v>85.6</v>
      </c>
    </row>
    <row r="329">
      <c r="A329" s="19">
        <v>328.0</v>
      </c>
      <c r="B329" s="19">
        <v>316.0</v>
      </c>
      <c r="C329" s="19">
        <v>331.0</v>
      </c>
      <c r="D329" s="19" t="s">
        <v>502</v>
      </c>
      <c r="E329" s="19" t="s">
        <v>22</v>
      </c>
      <c r="F329" s="19" t="s">
        <v>44</v>
      </c>
      <c r="G329" s="21">
        <v>36.0</v>
      </c>
      <c r="H329" s="22">
        <v>67.5</v>
      </c>
    </row>
    <row r="330">
      <c r="A330" s="19">
        <v>329.0</v>
      </c>
      <c r="B330" s="19">
        <v>329.0</v>
      </c>
      <c r="C330" s="19">
        <v>317.0</v>
      </c>
      <c r="D330" s="19" t="s">
        <v>503</v>
      </c>
      <c r="E330" s="19" t="s">
        <v>137</v>
      </c>
      <c r="F330" s="19" t="s">
        <v>40</v>
      </c>
      <c r="G330" s="21">
        <v>45.0</v>
      </c>
      <c r="H330" s="22">
        <v>64.8</v>
      </c>
    </row>
    <row r="331">
      <c r="A331" s="19">
        <v>330.0</v>
      </c>
      <c r="B331" s="19">
        <v>340.0</v>
      </c>
      <c r="C331" s="19">
        <v>329.0</v>
      </c>
      <c r="D331" s="19" t="s">
        <v>504</v>
      </c>
      <c r="E331" s="19" t="s">
        <v>204</v>
      </c>
      <c r="F331" s="19" t="s">
        <v>44</v>
      </c>
      <c r="G331" s="21">
        <v>37.0</v>
      </c>
      <c r="H331" s="22">
        <v>67.1</v>
      </c>
    </row>
    <row r="332">
      <c r="A332" s="19">
        <v>331.0</v>
      </c>
      <c r="B332" s="19">
        <v>295.0</v>
      </c>
      <c r="C332" s="19">
        <v>312.0</v>
      </c>
      <c r="D332" s="19" t="s">
        <v>505</v>
      </c>
      <c r="E332" s="19" t="s">
        <v>57</v>
      </c>
      <c r="F332" s="19" t="s">
        <v>15</v>
      </c>
      <c r="G332" s="21">
        <v>16.0</v>
      </c>
      <c r="H332" s="22">
        <v>71.6</v>
      </c>
    </row>
    <row r="333">
      <c r="A333" s="19">
        <v>332.0</v>
      </c>
      <c r="B333" s="19">
        <v>297.0</v>
      </c>
      <c r="C333" s="19">
        <v>349.0</v>
      </c>
      <c r="D333" s="19" t="s">
        <v>506</v>
      </c>
      <c r="E333" s="19" t="s">
        <v>156</v>
      </c>
      <c r="F333" s="19" t="s">
        <v>32</v>
      </c>
      <c r="G333" s="21">
        <v>36.0</v>
      </c>
      <c r="H333" s="22">
        <v>74.7</v>
      </c>
    </row>
    <row r="334">
      <c r="A334" s="19">
        <v>334.0</v>
      </c>
      <c r="B334" s="19">
        <v>328.0</v>
      </c>
      <c r="C334" s="19">
        <v>354.0</v>
      </c>
      <c r="D334" s="19" t="s">
        <v>507</v>
      </c>
      <c r="E334" s="19" t="s">
        <v>31</v>
      </c>
      <c r="F334" s="19" t="s">
        <v>19</v>
      </c>
      <c r="G334" s="21">
        <v>29.0</v>
      </c>
      <c r="H334" s="22">
        <v>62.6</v>
      </c>
    </row>
    <row r="335">
      <c r="A335" s="19">
        <v>333.0</v>
      </c>
      <c r="B335" s="19">
        <v>323.0</v>
      </c>
      <c r="C335" s="19">
        <v>335.0</v>
      </c>
      <c r="D335" s="19" t="s">
        <v>508</v>
      </c>
      <c r="E335" s="19" t="s">
        <v>223</v>
      </c>
      <c r="F335" s="19" t="s">
        <v>32</v>
      </c>
      <c r="G335" s="21">
        <v>37.0</v>
      </c>
      <c r="H335" s="22">
        <v>69.4</v>
      </c>
    </row>
    <row r="336">
      <c r="A336" s="19">
        <v>335.0</v>
      </c>
      <c r="B336" s="19">
        <v>311.0</v>
      </c>
      <c r="C336" s="19">
        <v>348.0</v>
      </c>
      <c r="D336" s="19" t="s">
        <v>509</v>
      </c>
      <c r="E336" s="19" t="s">
        <v>493</v>
      </c>
      <c r="F336" s="19" t="s">
        <v>54</v>
      </c>
      <c r="G336" s="21">
        <v>25.0</v>
      </c>
      <c r="H336" s="22">
        <v>65.3</v>
      </c>
    </row>
    <row r="337">
      <c r="A337" s="19">
        <v>336.0</v>
      </c>
      <c r="B337" s="19">
        <v>358.0</v>
      </c>
      <c r="C337" s="19">
        <v>341.0</v>
      </c>
      <c r="D337" s="19" t="s">
        <v>510</v>
      </c>
      <c r="E337" s="19" t="s">
        <v>270</v>
      </c>
      <c r="F337" s="19" t="s">
        <v>23</v>
      </c>
      <c r="G337" s="21">
        <v>25.0</v>
      </c>
      <c r="H337" s="22">
        <v>65.3</v>
      </c>
    </row>
    <row r="338">
      <c r="A338" s="19">
        <v>337.0</v>
      </c>
      <c r="B338" s="19">
        <v>334.0</v>
      </c>
      <c r="C338" s="19">
        <v>332.0</v>
      </c>
      <c r="D338" s="19" t="s">
        <v>511</v>
      </c>
      <c r="E338" s="19" t="s">
        <v>512</v>
      </c>
      <c r="F338" s="19" t="s">
        <v>170</v>
      </c>
      <c r="G338" s="21">
        <v>13.0</v>
      </c>
      <c r="H338" s="22">
        <v>82.4</v>
      </c>
    </row>
    <row r="339">
      <c r="A339" s="19">
        <v>338.0</v>
      </c>
      <c r="B339" s="19">
        <v>347.0</v>
      </c>
      <c r="C339" s="19">
        <v>342.0</v>
      </c>
      <c r="D339" s="19" t="s">
        <v>444</v>
      </c>
      <c r="E339" s="19" t="s">
        <v>413</v>
      </c>
      <c r="F339" s="19" t="s">
        <v>40</v>
      </c>
      <c r="G339" s="21">
        <v>46.0</v>
      </c>
      <c r="H339" s="22">
        <v>67.1</v>
      </c>
    </row>
    <row r="340">
      <c r="A340" s="19">
        <v>339.0</v>
      </c>
      <c r="B340" s="19">
        <v>312.0</v>
      </c>
      <c r="C340" s="19">
        <v>325.0</v>
      </c>
      <c r="D340" s="19" t="s">
        <v>513</v>
      </c>
      <c r="E340" s="19" t="s">
        <v>310</v>
      </c>
      <c r="F340" s="19" t="s">
        <v>63</v>
      </c>
      <c r="G340" s="21">
        <v>28.0</v>
      </c>
      <c r="H340" s="22">
        <v>77.5</v>
      </c>
    </row>
    <row r="341">
      <c r="A341" s="19">
        <v>340.0</v>
      </c>
      <c r="B341" s="19">
        <v>330.0</v>
      </c>
      <c r="C341" s="19">
        <v>328.0</v>
      </c>
      <c r="D341" s="19" t="s">
        <v>514</v>
      </c>
      <c r="E341" s="19" t="s">
        <v>344</v>
      </c>
      <c r="F341" s="19" t="s">
        <v>44</v>
      </c>
      <c r="G341" s="21">
        <v>38.0</v>
      </c>
      <c r="H341" s="22">
        <v>67.1</v>
      </c>
    </row>
    <row r="342">
      <c r="A342" s="19">
        <v>341.0</v>
      </c>
      <c r="B342" s="19">
        <v>392.0</v>
      </c>
      <c r="C342" s="19">
        <v>339.0</v>
      </c>
      <c r="D342" s="19" t="s">
        <v>515</v>
      </c>
      <c r="E342" s="19" t="s">
        <v>413</v>
      </c>
      <c r="F342" s="19" t="s">
        <v>54</v>
      </c>
      <c r="G342" s="21">
        <v>26.0</v>
      </c>
      <c r="H342" s="22">
        <v>69.8</v>
      </c>
    </row>
    <row r="343">
      <c r="A343" s="19">
        <v>342.0</v>
      </c>
      <c r="B343" s="19">
        <v>335.0</v>
      </c>
      <c r="C343" s="19">
        <v>374.0</v>
      </c>
      <c r="D343" s="19" t="s">
        <v>516</v>
      </c>
      <c r="E343" s="19" t="s">
        <v>53</v>
      </c>
      <c r="F343" s="19" t="s">
        <v>63</v>
      </c>
      <c r="G343" s="21">
        <v>29.0</v>
      </c>
      <c r="H343" s="22">
        <v>63.5</v>
      </c>
    </row>
    <row r="344">
      <c r="A344" s="19">
        <v>343.0</v>
      </c>
      <c r="B344" s="19">
        <v>428.0</v>
      </c>
      <c r="C344" s="19">
        <v>324.0</v>
      </c>
      <c r="D344" s="19" t="s">
        <v>517</v>
      </c>
      <c r="E344" s="19" t="s">
        <v>202</v>
      </c>
      <c r="F344" s="19" t="s">
        <v>26</v>
      </c>
      <c r="G344" s="21">
        <v>24.0</v>
      </c>
      <c r="H344" s="22">
        <v>89.2</v>
      </c>
    </row>
    <row r="345">
      <c r="A345" s="19">
        <v>344.0</v>
      </c>
      <c r="B345" s="19">
        <v>394.0</v>
      </c>
      <c r="C345" s="19">
        <v>344.0</v>
      </c>
      <c r="D345" s="19" t="s">
        <v>518</v>
      </c>
      <c r="E345" s="19" t="s">
        <v>67</v>
      </c>
      <c r="F345" s="19" t="s">
        <v>40</v>
      </c>
      <c r="G345" s="21">
        <v>47.0</v>
      </c>
      <c r="H345" s="22">
        <v>65.3</v>
      </c>
    </row>
    <row r="346">
      <c r="A346" s="19">
        <v>345.0</v>
      </c>
      <c r="B346" s="19">
        <v>422.0</v>
      </c>
      <c r="C346" s="19">
        <v>353.0</v>
      </c>
      <c r="D346" s="19" t="s">
        <v>519</v>
      </c>
      <c r="E346" s="19" t="s">
        <v>459</v>
      </c>
      <c r="F346" s="19" t="s">
        <v>32</v>
      </c>
      <c r="G346" s="21">
        <v>38.0</v>
      </c>
      <c r="H346" s="22">
        <v>74.3</v>
      </c>
    </row>
    <row r="347">
      <c r="A347" s="19">
        <v>347.0</v>
      </c>
      <c r="B347" s="19">
        <v>479.0</v>
      </c>
      <c r="C347" s="19">
        <v>330.0</v>
      </c>
      <c r="D347" s="19" t="s">
        <v>520</v>
      </c>
      <c r="E347" s="19" t="s">
        <v>204</v>
      </c>
      <c r="F347" s="19" t="s">
        <v>40</v>
      </c>
      <c r="G347" s="21">
        <v>48.0</v>
      </c>
      <c r="H347" s="22">
        <v>66.6</v>
      </c>
    </row>
    <row r="348">
      <c r="A348" s="19">
        <v>346.0</v>
      </c>
      <c r="B348" s="19">
        <v>369.0</v>
      </c>
      <c r="C348" s="19">
        <v>333.0</v>
      </c>
      <c r="D348" s="19" t="s">
        <v>445</v>
      </c>
      <c r="E348" s="19" t="s">
        <v>446</v>
      </c>
      <c r="F348" s="19" t="s">
        <v>19</v>
      </c>
      <c r="G348" s="21">
        <v>30.0</v>
      </c>
      <c r="H348" s="22">
        <v>68.0</v>
      </c>
    </row>
    <row r="349">
      <c r="A349" s="19">
        <v>348.0</v>
      </c>
      <c r="B349" s="19">
        <v>339.0</v>
      </c>
      <c r="C349" s="19">
        <v>340.0</v>
      </c>
      <c r="D349" s="19" t="s">
        <v>521</v>
      </c>
      <c r="E349" s="19" t="s">
        <v>250</v>
      </c>
      <c r="F349" s="19" t="s">
        <v>54</v>
      </c>
      <c r="G349" s="21">
        <v>27.0</v>
      </c>
      <c r="H349" s="22">
        <v>63.5</v>
      </c>
    </row>
    <row r="350">
      <c r="A350" s="19">
        <v>349.0</v>
      </c>
      <c r="B350" s="19">
        <v>308.0</v>
      </c>
      <c r="C350" s="19">
        <v>372.0</v>
      </c>
      <c r="D350" s="19" t="s">
        <v>522</v>
      </c>
      <c r="E350" s="19" t="s">
        <v>370</v>
      </c>
      <c r="F350" s="19" t="s">
        <v>26</v>
      </c>
      <c r="G350" s="21">
        <v>25.0</v>
      </c>
      <c r="H350" s="22">
        <v>64.8</v>
      </c>
    </row>
    <row r="351">
      <c r="A351" s="19">
        <v>350.0</v>
      </c>
      <c r="B351" s="19">
        <v>361.0</v>
      </c>
      <c r="C351" s="19">
        <v>361.0</v>
      </c>
      <c r="D351" s="19" t="s">
        <v>523</v>
      </c>
      <c r="E351" s="19" t="s">
        <v>124</v>
      </c>
      <c r="F351" s="19" t="s">
        <v>32</v>
      </c>
      <c r="G351" s="21">
        <v>39.0</v>
      </c>
      <c r="H351" s="22">
        <v>57.1</v>
      </c>
    </row>
    <row r="352">
      <c r="A352" s="19">
        <v>351.0</v>
      </c>
      <c r="B352" s="19">
        <v>379.0</v>
      </c>
      <c r="C352" s="19">
        <v>350.0</v>
      </c>
      <c r="D352" s="19" t="s">
        <v>447</v>
      </c>
      <c r="E352" s="19" t="s">
        <v>73</v>
      </c>
      <c r="F352" s="19" t="s">
        <v>91</v>
      </c>
      <c r="G352" s="21">
        <v>13.0</v>
      </c>
      <c r="H352" s="22">
        <v>65.3</v>
      </c>
    </row>
    <row r="353">
      <c r="A353" s="19">
        <v>352.0</v>
      </c>
      <c r="B353" s="19">
        <v>289.0</v>
      </c>
      <c r="C353" s="19">
        <v>359.0</v>
      </c>
      <c r="D353" s="19" t="s">
        <v>448</v>
      </c>
      <c r="E353" s="19" t="s">
        <v>107</v>
      </c>
      <c r="F353" s="19" t="s">
        <v>449</v>
      </c>
      <c r="G353" s="21">
        <v>1.0</v>
      </c>
      <c r="H353" s="22">
        <v>83.8</v>
      </c>
    </row>
    <row r="354">
      <c r="A354" s="19">
        <v>353.0</v>
      </c>
      <c r="B354" s="19">
        <v>271.0</v>
      </c>
      <c r="C354" s="19">
        <v>389.0</v>
      </c>
      <c r="D354" s="19" t="s">
        <v>524</v>
      </c>
      <c r="E354" s="19" t="s">
        <v>31</v>
      </c>
      <c r="F354" s="19" t="s">
        <v>91</v>
      </c>
      <c r="G354" s="21">
        <v>14.0</v>
      </c>
      <c r="H354" s="22">
        <v>65.7</v>
      </c>
    </row>
    <row r="355">
      <c r="A355" s="19">
        <v>354.0</v>
      </c>
      <c r="B355" s="19">
        <v>294.0</v>
      </c>
      <c r="C355" s="19">
        <v>368.0</v>
      </c>
      <c r="D355" s="19" t="s">
        <v>525</v>
      </c>
      <c r="E355" s="19" t="s">
        <v>150</v>
      </c>
      <c r="F355" s="19" t="s">
        <v>449</v>
      </c>
      <c r="G355" s="21">
        <v>2.0</v>
      </c>
      <c r="H355" s="22">
        <v>75.7</v>
      </c>
    </row>
    <row r="356">
      <c r="A356" s="19">
        <v>355.0</v>
      </c>
      <c r="B356" s="19">
        <v>371.0</v>
      </c>
      <c r="C356" s="19">
        <v>336.0</v>
      </c>
      <c r="D356" s="19" t="s">
        <v>450</v>
      </c>
      <c r="E356" s="19" t="s">
        <v>43</v>
      </c>
      <c r="F356" s="19" t="s">
        <v>63</v>
      </c>
      <c r="G356" s="21">
        <v>30.0</v>
      </c>
      <c r="H356" s="22">
        <v>64.4</v>
      </c>
    </row>
    <row r="357">
      <c r="A357" s="19">
        <v>357.0</v>
      </c>
      <c r="B357" s="19">
        <v>452.0</v>
      </c>
      <c r="C357" s="19">
        <v>369.0</v>
      </c>
      <c r="D357" s="19" t="s">
        <v>526</v>
      </c>
      <c r="E357" s="19" t="s">
        <v>112</v>
      </c>
      <c r="F357" s="19" t="s">
        <v>26</v>
      </c>
      <c r="G357" s="21">
        <v>26.0</v>
      </c>
      <c r="H357" s="22">
        <v>67.1</v>
      </c>
    </row>
    <row r="358">
      <c r="A358" s="19">
        <v>358.0</v>
      </c>
      <c r="B358" s="19">
        <v>383.0</v>
      </c>
      <c r="C358" s="19">
        <v>357.0</v>
      </c>
      <c r="D358" s="19" t="s">
        <v>451</v>
      </c>
      <c r="E358" s="19" t="s">
        <v>452</v>
      </c>
      <c r="F358" s="19" t="s">
        <v>85</v>
      </c>
      <c r="G358" s="21">
        <v>14.0</v>
      </c>
      <c r="H358" s="22">
        <v>96.4</v>
      </c>
    </row>
    <row r="359">
      <c r="A359" s="19">
        <v>356.0</v>
      </c>
      <c r="B359" s="19">
        <v>315.0</v>
      </c>
      <c r="C359" s="19">
        <v>365.0</v>
      </c>
      <c r="D359" s="19" t="s">
        <v>527</v>
      </c>
      <c r="E359" s="19" t="s">
        <v>153</v>
      </c>
      <c r="F359" s="19" t="s">
        <v>15</v>
      </c>
      <c r="G359" s="21">
        <v>17.0</v>
      </c>
      <c r="H359" s="22">
        <v>62.6</v>
      </c>
    </row>
    <row r="360">
      <c r="A360" s="19">
        <v>359.0</v>
      </c>
      <c r="B360" s="19">
        <v>331.0</v>
      </c>
      <c r="C360" s="19">
        <v>370.0</v>
      </c>
      <c r="D360" s="19" t="s">
        <v>528</v>
      </c>
      <c r="E360" s="19" t="s">
        <v>43</v>
      </c>
      <c r="F360" s="19" t="s">
        <v>40</v>
      </c>
      <c r="G360" s="21">
        <v>49.0</v>
      </c>
      <c r="H360" s="22">
        <v>62.1</v>
      </c>
    </row>
    <row r="361">
      <c r="A361" s="19">
        <v>360.0</v>
      </c>
      <c r="B361" s="19">
        <v>256.0</v>
      </c>
      <c r="C361" s="19">
        <v>425.0</v>
      </c>
      <c r="D361" s="19" t="s">
        <v>453</v>
      </c>
      <c r="E361" s="19" t="s">
        <v>287</v>
      </c>
      <c r="F361" s="19" t="s">
        <v>454</v>
      </c>
      <c r="G361" s="21">
        <v>2.0</v>
      </c>
      <c r="H361" s="22">
        <v>83.4</v>
      </c>
    </row>
    <row r="362">
      <c r="A362" s="19">
        <v>361.0</v>
      </c>
      <c r="B362" s="19">
        <v>472.0</v>
      </c>
      <c r="C362" s="19">
        <v>347.0</v>
      </c>
      <c r="D362" s="19" t="s">
        <v>455</v>
      </c>
      <c r="E362" s="19" t="s">
        <v>130</v>
      </c>
      <c r="F362" s="19" t="s">
        <v>26</v>
      </c>
      <c r="G362" s="21">
        <v>27.0</v>
      </c>
      <c r="H362" s="22">
        <v>80.2</v>
      </c>
    </row>
    <row r="363">
      <c r="A363" s="19">
        <v>362.0</v>
      </c>
      <c r="B363" s="19">
        <v>406.0</v>
      </c>
      <c r="C363" s="19">
        <v>356.0</v>
      </c>
      <c r="D363" s="19" t="s">
        <v>529</v>
      </c>
      <c r="E363" s="19" t="s">
        <v>150</v>
      </c>
      <c r="F363" s="19" t="s">
        <v>32</v>
      </c>
      <c r="G363" s="21">
        <v>40.0</v>
      </c>
      <c r="H363" s="22">
        <v>70.3</v>
      </c>
    </row>
    <row r="364">
      <c r="A364" s="19">
        <v>363.0</v>
      </c>
      <c r="B364" s="19">
        <v>382.0</v>
      </c>
      <c r="C364" s="19">
        <v>362.0</v>
      </c>
      <c r="D364" s="19" t="s">
        <v>530</v>
      </c>
      <c r="E364" s="19" t="s">
        <v>119</v>
      </c>
      <c r="F364" s="19" t="s">
        <v>32</v>
      </c>
      <c r="G364" s="21">
        <v>41.0</v>
      </c>
      <c r="H364" s="22">
        <v>78.8</v>
      </c>
    </row>
    <row r="365">
      <c r="A365" s="19">
        <v>364.0</v>
      </c>
      <c r="B365" s="19">
        <v>299.0</v>
      </c>
      <c r="C365" s="19">
        <v>376.0</v>
      </c>
      <c r="D365" s="19" t="s">
        <v>531</v>
      </c>
      <c r="E365" s="19" t="s">
        <v>73</v>
      </c>
      <c r="F365" s="19" t="s">
        <v>54</v>
      </c>
      <c r="G365" s="21">
        <v>28.0</v>
      </c>
      <c r="H365" s="22">
        <v>64.4</v>
      </c>
    </row>
    <row r="366">
      <c r="A366" s="19">
        <v>365.0</v>
      </c>
      <c r="B366" s="19">
        <v>366.0</v>
      </c>
      <c r="C366" s="19">
        <v>387.0</v>
      </c>
      <c r="D366" s="19" t="s">
        <v>532</v>
      </c>
      <c r="E366" s="19" t="s">
        <v>533</v>
      </c>
      <c r="F366" s="19" t="s">
        <v>63</v>
      </c>
      <c r="G366" s="21">
        <v>31.0</v>
      </c>
      <c r="H366" s="22">
        <v>65.7</v>
      </c>
    </row>
    <row r="367">
      <c r="A367" s="19">
        <v>366.0</v>
      </c>
      <c r="B367" s="19">
        <v>471.0</v>
      </c>
      <c r="C367" s="19">
        <v>355.0</v>
      </c>
      <c r="D367" s="19" t="s">
        <v>534</v>
      </c>
      <c r="E367" s="19" t="s">
        <v>144</v>
      </c>
      <c r="F367" s="19" t="s">
        <v>23</v>
      </c>
      <c r="G367" s="21">
        <v>26.0</v>
      </c>
      <c r="H367" s="22">
        <v>65.7</v>
      </c>
    </row>
    <row r="368">
      <c r="A368" s="19">
        <v>367.0</v>
      </c>
      <c r="B368" s="19">
        <v>363.0</v>
      </c>
      <c r="C368" s="19">
        <v>382.0</v>
      </c>
      <c r="D368" s="19" t="s">
        <v>535</v>
      </c>
      <c r="E368" s="19" t="s">
        <v>287</v>
      </c>
      <c r="F368" s="19" t="s">
        <v>63</v>
      </c>
      <c r="G368" s="21">
        <v>32.0</v>
      </c>
      <c r="H368" s="22">
        <v>66.2</v>
      </c>
    </row>
    <row r="369">
      <c r="A369" s="19">
        <v>368.0</v>
      </c>
      <c r="B369" s="19">
        <v>375.0</v>
      </c>
      <c r="C369" s="19">
        <v>379.0</v>
      </c>
      <c r="D369" s="19" t="s">
        <v>536</v>
      </c>
      <c r="E369" s="19" t="s">
        <v>537</v>
      </c>
      <c r="F369" s="19" t="s">
        <v>40</v>
      </c>
      <c r="G369" s="21">
        <v>50.0</v>
      </c>
      <c r="H369" s="22">
        <v>65.7</v>
      </c>
    </row>
    <row r="370">
      <c r="A370" s="19">
        <v>369.0</v>
      </c>
      <c r="B370" s="19">
        <v>370.0</v>
      </c>
      <c r="C370" s="19">
        <v>360.0</v>
      </c>
      <c r="D370" s="19" t="s">
        <v>538</v>
      </c>
      <c r="E370" s="19" t="s">
        <v>539</v>
      </c>
      <c r="F370" s="19" t="s">
        <v>15</v>
      </c>
      <c r="G370" s="21">
        <v>18.0</v>
      </c>
      <c r="H370" s="22">
        <v>81.5</v>
      </c>
    </row>
    <row r="371">
      <c r="A371" s="19">
        <v>370.0</v>
      </c>
      <c r="B371" s="19">
        <v>474.0</v>
      </c>
      <c r="C371" s="19">
        <v>346.0</v>
      </c>
      <c r="D371" s="19" t="s">
        <v>540</v>
      </c>
      <c r="E371" s="19" t="s">
        <v>370</v>
      </c>
      <c r="F371" s="19" t="s">
        <v>40</v>
      </c>
      <c r="G371" s="21">
        <v>51.0</v>
      </c>
      <c r="H371" s="22">
        <v>63.9</v>
      </c>
    </row>
    <row r="372">
      <c r="A372" s="19">
        <v>371.0</v>
      </c>
      <c r="B372" s="19">
        <v>511.0</v>
      </c>
      <c r="C372" s="19">
        <v>358.0</v>
      </c>
      <c r="D372" s="19" t="s">
        <v>541</v>
      </c>
      <c r="E372" s="19" t="s">
        <v>43</v>
      </c>
      <c r="F372" s="19" t="s">
        <v>54</v>
      </c>
      <c r="G372" s="21">
        <v>29.0</v>
      </c>
      <c r="H372" s="22">
        <v>68.9</v>
      </c>
    </row>
    <row r="373">
      <c r="A373" s="19">
        <v>372.0</v>
      </c>
      <c r="B373" s="19">
        <v>333.0</v>
      </c>
      <c r="C373" s="19">
        <v>384.0</v>
      </c>
      <c r="D373" s="19" t="s">
        <v>542</v>
      </c>
      <c r="E373" s="19" t="s">
        <v>370</v>
      </c>
      <c r="F373" s="19" t="s">
        <v>85</v>
      </c>
      <c r="G373" s="21">
        <v>15.0</v>
      </c>
      <c r="H373" s="22">
        <v>71.6</v>
      </c>
    </row>
    <row r="374">
      <c r="A374" s="19">
        <v>373.0</v>
      </c>
      <c r="B374" s="19">
        <v>351.0</v>
      </c>
      <c r="C374" s="19">
        <v>345.0</v>
      </c>
      <c r="D374" s="19" t="s">
        <v>543</v>
      </c>
      <c r="E374" s="19" t="s">
        <v>544</v>
      </c>
      <c r="F374" s="19" t="s">
        <v>26</v>
      </c>
      <c r="G374" s="21">
        <v>28.0</v>
      </c>
      <c r="H374" s="22">
        <v>73.4</v>
      </c>
    </row>
    <row r="375">
      <c r="A375" s="19">
        <v>374.0</v>
      </c>
      <c r="B375" s="19">
        <v>418.0</v>
      </c>
      <c r="C375" s="19">
        <v>367.0</v>
      </c>
      <c r="D375" s="19" t="s">
        <v>545</v>
      </c>
      <c r="E375" s="19" t="s">
        <v>112</v>
      </c>
      <c r="F375" s="19" t="s">
        <v>170</v>
      </c>
      <c r="G375" s="21">
        <v>14.0</v>
      </c>
      <c r="H375" s="22">
        <v>65.3</v>
      </c>
    </row>
    <row r="376">
      <c r="A376" s="19">
        <v>375.0</v>
      </c>
      <c r="B376" s="19">
        <v>487.0</v>
      </c>
      <c r="C376" s="19">
        <v>366.0</v>
      </c>
      <c r="D376" s="19" t="s">
        <v>546</v>
      </c>
      <c r="E376" s="19" t="s">
        <v>137</v>
      </c>
      <c r="F376" s="19" t="s">
        <v>15</v>
      </c>
      <c r="G376" s="21">
        <v>19.0</v>
      </c>
      <c r="H376" s="22">
        <v>63.0</v>
      </c>
    </row>
    <row r="377">
      <c r="A377" s="19">
        <v>376.0</v>
      </c>
      <c r="B377" s="19">
        <v>385.0</v>
      </c>
      <c r="C377" s="19">
        <v>377.0</v>
      </c>
      <c r="D377" s="19" t="s">
        <v>456</v>
      </c>
      <c r="E377" s="19" t="s">
        <v>18</v>
      </c>
      <c r="F377" s="19" t="s">
        <v>38</v>
      </c>
      <c r="G377" s="21">
        <v>25.0</v>
      </c>
      <c r="H377" s="22">
        <v>58.5</v>
      </c>
    </row>
    <row r="378">
      <c r="A378" s="19">
        <v>379.0</v>
      </c>
      <c r="B378" s="19">
        <v>393.0</v>
      </c>
      <c r="C378" s="19">
        <v>378.0</v>
      </c>
      <c r="D378" s="19" t="s">
        <v>547</v>
      </c>
      <c r="E378" s="19" t="s">
        <v>200</v>
      </c>
      <c r="F378" s="19" t="s">
        <v>38</v>
      </c>
      <c r="G378" s="21">
        <v>26.0</v>
      </c>
      <c r="H378" s="22">
        <v>63.0</v>
      </c>
    </row>
    <row r="379">
      <c r="A379" s="19">
        <v>380.0</v>
      </c>
      <c r="B379" s="19">
        <v>399.0</v>
      </c>
      <c r="C379" s="19">
        <v>363.0</v>
      </c>
      <c r="D379" s="19" t="s">
        <v>548</v>
      </c>
      <c r="E379" s="19" t="s">
        <v>501</v>
      </c>
      <c r="F379" s="19" t="s">
        <v>54</v>
      </c>
      <c r="G379" s="21">
        <v>30.0</v>
      </c>
      <c r="H379" s="22">
        <v>81.5</v>
      </c>
    </row>
    <row r="380">
      <c r="A380" s="19">
        <v>377.0</v>
      </c>
      <c r="B380" s="19">
        <v>300.0</v>
      </c>
      <c r="C380" s="19">
        <v>395.0</v>
      </c>
      <c r="D380" s="19" t="s">
        <v>549</v>
      </c>
      <c r="E380" s="19" t="s">
        <v>124</v>
      </c>
      <c r="F380" s="19" t="s">
        <v>85</v>
      </c>
      <c r="G380" s="21">
        <v>16.0</v>
      </c>
      <c r="H380" s="22">
        <v>66.6</v>
      </c>
    </row>
    <row r="381">
      <c r="A381" s="19">
        <v>378.0</v>
      </c>
      <c r="B381" s="19">
        <v>389.0</v>
      </c>
      <c r="C381" s="19">
        <v>381.0</v>
      </c>
      <c r="D381" s="19" t="s">
        <v>457</v>
      </c>
      <c r="E381" s="19" t="s">
        <v>57</v>
      </c>
      <c r="F381" s="19" t="s">
        <v>234</v>
      </c>
      <c r="G381" s="21">
        <v>10.0</v>
      </c>
      <c r="H381" s="22">
        <v>68.0</v>
      </c>
    </row>
    <row r="382">
      <c r="A382" s="19">
        <v>382.0</v>
      </c>
      <c r="B382" s="19">
        <v>429.0</v>
      </c>
      <c r="C382" s="19">
        <v>371.0</v>
      </c>
      <c r="D382" s="19" t="s">
        <v>458</v>
      </c>
      <c r="E382" s="19" t="s">
        <v>459</v>
      </c>
      <c r="F382" s="19" t="s">
        <v>15</v>
      </c>
      <c r="G382" s="21">
        <v>20.0</v>
      </c>
      <c r="H382" s="22">
        <v>64.4</v>
      </c>
    </row>
    <row r="383">
      <c r="A383" s="19">
        <v>381.0</v>
      </c>
      <c r="B383" s="19">
        <v>364.0</v>
      </c>
      <c r="C383" s="19">
        <v>373.0</v>
      </c>
      <c r="D383" s="19" t="s">
        <v>550</v>
      </c>
      <c r="E383" s="19" t="s">
        <v>150</v>
      </c>
      <c r="F383" s="19" t="s">
        <v>19</v>
      </c>
      <c r="G383" s="21">
        <v>31.0</v>
      </c>
      <c r="H383" s="22">
        <v>74.8</v>
      </c>
    </row>
    <row r="384">
      <c r="A384" s="19">
        <v>383.0</v>
      </c>
      <c r="B384" s="19">
        <v>380.0</v>
      </c>
      <c r="C384" s="19">
        <v>364.0</v>
      </c>
      <c r="D384" s="19" t="s">
        <v>551</v>
      </c>
      <c r="E384" s="19" t="s">
        <v>259</v>
      </c>
      <c r="F384" s="19" t="s">
        <v>85</v>
      </c>
      <c r="G384" s="21">
        <v>17.0</v>
      </c>
      <c r="H384" s="22">
        <v>100.5</v>
      </c>
    </row>
    <row r="385">
      <c r="A385" s="19">
        <v>385.0</v>
      </c>
      <c r="B385" s="19">
        <v>397.0</v>
      </c>
      <c r="C385" s="19">
        <v>380.0</v>
      </c>
      <c r="D385" s="19" t="s">
        <v>552</v>
      </c>
      <c r="E385" s="19" t="s">
        <v>381</v>
      </c>
      <c r="F385" s="19" t="s">
        <v>19</v>
      </c>
      <c r="G385" s="21">
        <v>32.0</v>
      </c>
      <c r="H385" s="22">
        <v>63.5</v>
      </c>
    </row>
    <row r="386">
      <c r="A386" s="19">
        <v>384.0</v>
      </c>
      <c r="B386" s="19">
        <v>352.0</v>
      </c>
      <c r="C386" s="19">
        <v>405.0</v>
      </c>
      <c r="D386" s="19" t="s">
        <v>553</v>
      </c>
      <c r="E386" s="19" t="s">
        <v>130</v>
      </c>
      <c r="F386" s="19" t="s">
        <v>54</v>
      </c>
      <c r="G386" s="21">
        <v>31.0</v>
      </c>
      <c r="H386" s="22">
        <v>65.3</v>
      </c>
    </row>
    <row r="387">
      <c r="A387" s="19">
        <v>386.0</v>
      </c>
      <c r="B387" s="19">
        <v>368.0</v>
      </c>
      <c r="C387" s="19">
        <v>375.0</v>
      </c>
      <c r="D387" s="19" t="s">
        <v>460</v>
      </c>
      <c r="E387" s="19" t="s">
        <v>202</v>
      </c>
      <c r="F387" s="19" t="s">
        <v>38</v>
      </c>
      <c r="G387" s="21">
        <v>27.0</v>
      </c>
      <c r="H387" s="22">
        <v>64.4</v>
      </c>
    </row>
    <row r="388">
      <c r="A388" s="19">
        <v>387.0</v>
      </c>
      <c r="B388" s="19">
        <v>453.0</v>
      </c>
      <c r="C388" s="19">
        <v>388.0</v>
      </c>
      <c r="D388" s="19" t="s">
        <v>554</v>
      </c>
      <c r="E388" s="19" t="s">
        <v>80</v>
      </c>
      <c r="F388" s="19" t="s">
        <v>44</v>
      </c>
      <c r="G388" s="21">
        <v>39.0</v>
      </c>
      <c r="H388" s="22">
        <v>63.9</v>
      </c>
    </row>
    <row r="389">
      <c r="A389" s="19">
        <v>388.0</v>
      </c>
      <c r="B389" s="19">
        <v>354.0</v>
      </c>
      <c r="C389" s="19">
        <v>396.0</v>
      </c>
      <c r="D389" s="19" t="s">
        <v>555</v>
      </c>
      <c r="E389" s="19" t="s">
        <v>185</v>
      </c>
      <c r="F389" s="19" t="s">
        <v>85</v>
      </c>
      <c r="G389" s="21">
        <v>18.0</v>
      </c>
      <c r="H389" s="22">
        <v>70.2</v>
      </c>
    </row>
    <row r="390">
      <c r="A390" s="19">
        <v>389.0</v>
      </c>
      <c r="B390" s="19">
        <v>497.0</v>
      </c>
      <c r="C390" s="19">
        <v>383.0</v>
      </c>
      <c r="D390" s="19" t="s">
        <v>556</v>
      </c>
      <c r="E390" s="19" t="s">
        <v>130</v>
      </c>
      <c r="F390" s="19" t="s">
        <v>40</v>
      </c>
      <c r="G390" s="21">
        <v>52.0</v>
      </c>
      <c r="H390" s="22">
        <v>63.9</v>
      </c>
    </row>
    <row r="391">
      <c r="A391" s="19">
        <v>390.0</v>
      </c>
      <c r="B391" s="19">
        <v>493.0</v>
      </c>
      <c r="C391" s="19">
        <v>398.0</v>
      </c>
      <c r="D391" s="19" t="s">
        <v>557</v>
      </c>
      <c r="E391" s="19" t="s">
        <v>558</v>
      </c>
      <c r="F391" s="19" t="s">
        <v>26</v>
      </c>
      <c r="G391" s="21">
        <v>29.0</v>
      </c>
      <c r="H391" s="22">
        <v>67.5</v>
      </c>
    </row>
    <row r="392">
      <c r="A392" s="19">
        <v>391.0</v>
      </c>
      <c r="B392" s="19">
        <v>301.0</v>
      </c>
      <c r="C392" s="19">
        <v>427.0</v>
      </c>
      <c r="D392" s="19" t="s">
        <v>559</v>
      </c>
      <c r="E392" s="19" t="s">
        <v>153</v>
      </c>
      <c r="F392" s="19" t="s">
        <v>449</v>
      </c>
      <c r="G392" s="21">
        <v>3.0</v>
      </c>
      <c r="H392" s="22">
        <v>71.2</v>
      </c>
    </row>
    <row r="393">
      <c r="A393" s="19">
        <v>392.0</v>
      </c>
      <c r="B393" s="19">
        <v>341.0</v>
      </c>
      <c r="C393" s="19">
        <v>409.0</v>
      </c>
      <c r="D393" s="19" t="s">
        <v>560</v>
      </c>
      <c r="E393" s="19" t="s">
        <v>561</v>
      </c>
      <c r="F393" s="19" t="s">
        <v>40</v>
      </c>
      <c r="G393" s="21">
        <v>53.0</v>
      </c>
      <c r="H393" s="22">
        <v>71.1</v>
      </c>
    </row>
    <row r="394">
      <c r="A394" s="19">
        <v>393.0</v>
      </c>
      <c r="B394" s="19">
        <v>492.0</v>
      </c>
      <c r="C394" s="19">
        <v>391.0</v>
      </c>
      <c r="D394" s="19" t="s">
        <v>562</v>
      </c>
      <c r="E394" s="19" t="s">
        <v>75</v>
      </c>
      <c r="F394" s="19" t="s">
        <v>44</v>
      </c>
      <c r="G394" s="21">
        <v>40.0</v>
      </c>
      <c r="H394" s="22">
        <v>68.0</v>
      </c>
    </row>
    <row r="395">
      <c r="A395" s="19">
        <v>394.0</v>
      </c>
      <c r="B395" s="19">
        <v>508.0</v>
      </c>
      <c r="C395" s="19">
        <v>394.0</v>
      </c>
      <c r="D395" s="19" t="s">
        <v>563</v>
      </c>
      <c r="E395" s="19" t="s">
        <v>161</v>
      </c>
      <c r="F395" s="19" t="s">
        <v>38</v>
      </c>
      <c r="G395" s="21">
        <v>28.0</v>
      </c>
      <c r="H395" s="22">
        <v>59.0</v>
      </c>
    </row>
    <row r="396">
      <c r="A396" s="19">
        <v>395.0</v>
      </c>
      <c r="B396" s="19">
        <v>384.0</v>
      </c>
      <c r="C396" s="19">
        <v>413.0</v>
      </c>
      <c r="D396" s="19" t="s">
        <v>564</v>
      </c>
      <c r="E396" s="19" t="s">
        <v>57</v>
      </c>
      <c r="F396" s="19" t="s">
        <v>44</v>
      </c>
      <c r="G396" s="21">
        <v>41.0</v>
      </c>
      <c r="H396" s="22">
        <v>67.5</v>
      </c>
    </row>
    <row r="397">
      <c r="A397" s="19">
        <v>396.0</v>
      </c>
      <c r="B397" s="19">
        <v>459.0</v>
      </c>
      <c r="C397" s="19">
        <v>400.0</v>
      </c>
      <c r="D397" s="19" t="s">
        <v>565</v>
      </c>
      <c r="E397" s="19" t="s">
        <v>501</v>
      </c>
      <c r="F397" s="19" t="s">
        <v>32</v>
      </c>
      <c r="G397" s="21">
        <v>42.0</v>
      </c>
      <c r="H397" s="22">
        <v>73.4</v>
      </c>
    </row>
    <row r="398">
      <c r="A398" s="19">
        <v>397.0</v>
      </c>
      <c r="B398" s="19">
        <v>504.0</v>
      </c>
      <c r="C398" s="19">
        <v>402.0</v>
      </c>
      <c r="D398" s="19" t="s">
        <v>566</v>
      </c>
      <c r="E398" s="19" t="s">
        <v>156</v>
      </c>
      <c r="F398" s="19" t="s">
        <v>44</v>
      </c>
      <c r="G398" s="21">
        <v>42.0</v>
      </c>
      <c r="H398" s="22">
        <v>61.7</v>
      </c>
    </row>
    <row r="399">
      <c r="A399" s="19">
        <v>398.0</v>
      </c>
      <c r="B399" s="19">
        <v>426.0</v>
      </c>
      <c r="C399" s="19">
        <v>399.0</v>
      </c>
      <c r="D399" s="19" t="s">
        <v>567</v>
      </c>
      <c r="E399" s="19" t="s">
        <v>50</v>
      </c>
      <c r="F399" s="19" t="s">
        <v>44</v>
      </c>
      <c r="G399" s="21">
        <v>43.0</v>
      </c>
      <c r="H399" s="22">
        <v>70.7</v>
      </c>
    </row>
    <row r="400">
      <c r="A400" s="19">
        <v>399.0</v>
      </c>
      <c r="B400" s="19">
        <v>469.0</v>
      </c>
      <c r="C400" s="19">
        <v>351.0</v>
      </c>
      <c r="D400" s="19" t="s">
        <v>568</v>
      </c>
      <c r="E400" s="19" t="s">
        <v>569</v>
      </c>
      <c r="F400" s="19" t="s">
        <v>38</v>
      </c>
      <c r="G400" s="21">
        <v>29.0</v>
      </c>
      <c r="H400" s="22">
        <v>79.3</v>
      </c>
    </row>
    <row r="401">
      <c r="A401" s="19">
        <v>400.0</v>
      </c>
      <c r="B401" s="19">
        <v>697.0</v>
      </c>
      <c r="C401" s="19">
        <v>386.0</v>
      </c>
      <c r="D401" s="19" t="s">
        <v>570</v>
      </c>
      <c r="E401" s="19" t="s">
        <v>101</v>
      </c>
      <c r="F401" s="19" t="s">
        <v>44</v>
      </c>
      <c r="G401" s="21">
        <v>44.0</v>
      </c>
      <c r="H401" s="22">
        <v>84.2</v>
      </c>
    </row>
    <row r="402">
      <c r="A402" s="19">
        <v>402.0</v>
      </c>
      <c r="B402" s="19">
        <v>342.0</v>
      </c>
      <c r="C402" s="19">
        <v>420.0</v>
      </c>
      <c r="D402" s="19" t="s">
        <v>571</v>
      </c>
      <c r="E402" s="19" t="s">
        <v>208</v>
      </c>
      <c r="F402" s="19" t="s">
        <v>234</v>
      </c>
      <c r="G402" s="21">
        <v>11.0</v>
      </c>
      <c r="H402" s="22">
        <v>63.5</v>
      </c>
    </row>
    <row r="403">
      <c r="A403" s="19">
        <v>403.0</v>
      </c>
      <c r="B403" s="19">
        <v>408.0</v>
      </c>
      <c r="C403" s="19">
        <v>408.0</v>
      </c>
      <c r="D403" s="19" t="s">
        <v>572</v>
      </c>
      <c r="E403" s="19" t="s">
        <v>200</v>
      </c>
      <c r="F403" s="19" t="s">
        <v>44</v>
      </c>
      <c r="G403" s="21">
        <v>45.0</v>
      </c>
      <c r="H403" s="22">
        <v>74.8</v>
      </c>
    </row>
    <row r="404">
      <c r="A404" s="19">
        <v>404.0</v>
      </c>
      <c r="B404" s="19">
        <v>528.0</v>
      </c>
      <c r="C404" s="19">
        <v>385.0</v>
      </c>
      <c r="D404" s="19" t="s">
        <v>573</v>
      </c>
      <c r="E404" s="19" t="s">
        <v>53</v>
      </c>
      <c r="F404" s="19" t="s">
        <v>40</v>
      </c>
      <c r="G404" s="21">
        <v>54.0</v>
      </c>
      <c r="H404" s="22">
        <v>67.5</v>
      </c>
    </row>
    <row r="405">
      <c r="A405" s="19">
        <v>401.0</v>
      </c>
      <c r="B405" s="19">
        <v>376.0</v>
      </c>
      <c r="C405" s="19">
        <v>440.0</v>
      </c>
      <c r="D405" s="19" t="s">
        <v>461</v>
      </c>
      <c r="E405" s="19" t="s">
        <v>107</v>
      </c>
      <c r="F405" s="19" t="s">
        <v>454</v>
      </c>
      <c r="G405" s="21">
        <v>3.0</v>
      </c>
      <c r="H405" s="22">
        <v>65.7</v>
      </c>
    </row>
    <row r="406">
      <c r="A406" s="19">
        <v>405.0</v>
      </c>
      <c r="B406" s="19">
        <v>519.0</v>
      </c>
      <c r="C406" s="19">
        <v>412.0</v>
      </c>
      <c r="D406" s="19" t="s">
        <v>574</v>
      </c>
      <c r="E406" s="19" t="s">
        <v>575</v>
      </c>
      <c r="F406" s="19" t="s">
        <v>44</v>
      </c>
      <c r="G406" s="21">
        <v>46.0</v>
      </c>
      <c r="H406" s="22">
        <v>63.9</v>
      </c>
    </row>
    <row r="407">
      <c r="A407" s="19">
        <v>406.0</v>
      </c>
      <c r="B407" s="19">
        <v>463.0</v>
      </c>
      <c r="C407" s="19">
        <v>410.0</v>
      </c>
      <c r="D407" s="19" t="s">
        <v>576</v>
      </c>
      <c r="E407" s="19" t="s">
        <v>370</v>
      </c>
      <c r="F407" s="19" t="s">
        <v>32</v>
      </c>
      <c r="G407" s="21">
        <v>43.0</v>
      </c>
      <c r="H407" s="22">
        <v>73.9</v>
      </c>
    </row>
    <row r="408">
      <c r="A408" s="19">
        <v>407.0</v>
      </c>
      <c r="B408" s="19">
        <v>468.0</v>
      </c>
      <c r="C408" s="19">
        <v>415.0</v>
      </c>
      <c r="D408" s="19" t="s">
        <v>577</v>
      </c>
      <c r="E408" s="19" t="s">
        <v>59</v>
      </c>
      <c r="F408" s="19" t="s">
        <v>26</v>
      </c>
      <c r="G408" s="21">
        <v>30.0</v>
      </c>
      <c r="H408" s="22">
        <v>60.3</v>
      </c>
    </row>
    <row r="409">
      <c r="A409" s="19">
        <v>408.0</v>
      </c>
      <c r="B409" s="19">
        <v>419.0</v>
      </c>
      <c r="C409" s="19">
        <v>404.0</v>
      </c>
      <c r="D409" s="19" t="s">
        <v>578</v>
      </c>
      <c r="E409" s="19" t="s">
        <v>137</v>
      </c>
      <c r="F409" s="19" t="s">
        <v>32</v>
      </c>
      <c r="G409" s="21">
        <v>44.0</v>
      </c>
      <c r="H409" s="22">
        <v>71.1</v>
      </c>
    </row>
    <row r="410">
      <c r="A410" s="19">
        <v>409.0</v>
      </c>
      <c r="B410" s="19">
        <v>424.0</v>
      </c>
      <c r="C410" s="19">
        <v>416.0</v>
      </c>
      <c r="D410" s="19" t="s">
        <v>579</v>
      </c>
      <c r="E410" s="19" t="s">
        <v>119</v>
      </c>
      <c r="F410" s="19" t="s">
        <v>26</v>
      </c>
      <c r="G410" s="21">
        <v>31.0</v>
      </c>
      <c r="H410" s="22">
        <v>68.0</v>
      </c>
    </row>
    <row r="411">
      <c r="A411" s="19">
        <v>410.0</v>
      </c>
      <c r="B411" s="19">
        <v>336.0</v>
      </c>
      <c r="C411" s="19">
        <v>464.0</v>
      </c>
      <c r="D411" s="19" t="s">
        <v>580</v>
      </c>
      <c r="E411" s="19" t="s">
        <v>533</v>
      </c>
      <c r="F411" s="19" t="s">
        <v>454</v>
      </c>
      <c r="G411" s="21">
        <v>4.0</v>
      </c>
      <c r="H411" s="22">
        <v>63.5</v>
      </c>
    </row>
    <row r="412">
      <c r="A412" s="19">
        <v>411.0</v>
      </c>
      <c r="B412" s="19">
        <v>592.0</v>
      </c>
      <c r="C412" s="19">
        <v>392.0</v>
      </c>
      <c r="D412" s="19" t="s">
        <v>581</v>
      </c>
      <c r="E412" s="19" t="s">
        <v>14</v>
      </c>
      <c r="F412" s="19" t="s">
        <v>26</v>
      </c>
      <c r="G412" s="21">
        <v>32.0</v>
      </c>
      <c r="H412" s="22">
        <v>68.9</v>
      </c>
    </row>
    <row r="413">
      <c r="A413" s="19">
        <v>412.0</v>
      </c>
      <c r="B413" s="19">
        <v>436.0</v>
      </c>
      <c r="C413" s="19">
        <v>403.0</v>
      </c>
      <c r="D413" s="19" t="s">
        <v>462</v>
      </c>
      <c r="E413" s="19" t="s">
        <v>87</v>
      </c>
      <c r="F413" s="19" t="s">
        <v>32</v>
      </c>
      <c r="G413" s="21">
        <v>45.0</v>
      </c>
      <c r="H413" s="22">
        <v>72.5</v>
      </c>
    </row>
    <row r="414">
      <c r="A414" s="19">
        <v>413.0</v>
      </c>
      <c r="B414" s="19">
        <v>593.0</v>
      </c>
      <c r="C414" s="19">
        <v>428.0</v>
      </c>
      <c r="D414" s="19" t="s">
        <v>582</v>
      </c>
      <c r="E414" s="19" t="s">
        <v>31</v>
      </c>
      <c r="F414" s="19" t="s">
        <v>40</v>
      </c>
      <c r="G414" s="21">
        <v>55.0</v>
      </c>
      <c r="H414" s="22">
        <v>60.3</v>
      </c>
    </row>
    <row r="415">
      <c r="A415" s="19">
        <v>414.0</v>
      </c>
      <c r="B415" s="19">
        <v>357.0</v>
      </c>
      <c r="C415" s="19">
        <v>419.0</v>
      </c>
      <c r="D415" s="19" t="s">
        <v>583</v>
      </c>
      <c r="E415" s="19" t="s">
        <v>584</v>
      </c>
      <c r="F415" s="19" t="s">
        <v>19</v>
      </c>
      <c r="G415" s="21">
        <v>33.0</v>
      </c>
      <c r="H415" s="22">
        <v>66.2</v>
      </c>
    </row>
    <row r="416">
      <c r="A416" s="19">
        <v>415.0</v>
      </c>
      <c r="B416" s="19">
        <v>555.0</v>
      </c>
      <c r="C416" s="19">
        <v>434.0</v>
      </c>
      <c r="D416" s="19" t="s">
        <v>585</v>
      </c>
      <c r="E416" s="19" t="s">
        <v>227</v>
      </c>
      <c r="F416" s="19" t="s">
        <v>54</v>
      </c>
      <c r="G416" s="21">
        <v>32.0</v>
      </c>
      <c r="H416" s="22">
        <v>63.4</v>
      </c>
    </row>
    <row r="417">
      <c r="A417" s="19">
        <v>416.0</v>
      </c>
      <c r="B417" s="19">
        <v>713.0</v>
      </c>
      <c r="C417" s="19">
        <v>418.0</v>
      </c>
      <c r="D417" s="19" t="s">
        <v>586</v>
      </c>
      <c r="E417" s="19" t="s">
        <v>200</v>
      </c>
      <c r="F417" s="19" t="s">
        <v>15</v>
      </c>
      <c r="G417" s="21">
        <v>21.0</v>
      </c>
      <c r="H417" s="22">
        <v>76.6</v>
      </c>
    </row>
    <row r="418">
      <c r="A418" s="19">
        <v>417.0</v>
      </c>
      <c r="B418" s="19">
        <v>521.0</v>
      </c>
      <c r="C418" s="19">
        <v>422.0</v>
      </c>
      <c r="D418" s="19" t="s">
        <v>587</v>
      </c>
      <c r="E418" s="19" t="s">
        <v>588</v>
      </c>
      <c r="F418" s="19" t="s">
        <v>15</v>
      </c>
      <c r="G418" s="21">
        <v>22.0</v>
      </c>
      <c r="H418" s="22">
        <v>68.9</v>
      </c>
    </row>
    <row r="419">
      <c r="A419" s="19">
        <v>418.0</v>
      </c>
      <c r="B419" s="19">
        <v>495.0</v>
      </c>
      <c r="C419" s="19">
        <v>445.0</v>
      </c>
      <c r="D419" s="19" t="s">
        <v>589</v>
      </c>
      <c r="E419" s="19" t="s">
        <v>200</v>
      </c>
      <c r="F419" s="19" t="s">
        <v>170</v>
      </c>
      <c r="G419" s="21">
        <v>15.0</v>
      </c>
      <c r="H419" s="22">
        <v>58.9</v>
      </c>
    </row>
    <row r="420">
      <c r="A420" s="19">
        <v>419.0</v>
      </c>
      <c r="B420" s="19">
        <v>420.0</v>
      </c>
      <c r="C420" s="19">
        <v>397.0</v>
      </c>
      <c r="D420" s="19" t="s">
        <v>590</v>
      </c>
      <c r="E420" s="19" t="s">
        <v>591</v>
      </c>
      <c r="F420" s="19" t="s">
        <v>40</v>
      </c>
      <c r="G420" s="21">
        <v>56.0</v>
      </c>
      <c r="H420" s="22">
        <v>64.4</v>
      </c>
    </row>
    <row r="421">
      <c r="A421" s="19">
        <v>420.0</v>
      </c>
      <c r="B421" s="19">
        <v>594.0</v>
      </c>
      <c r="C421" s="19">
        <v>430.0</v>
      </c>
      <c r="D421" s="19" t="s">
        <v>592</v>
      </c>
      <c r="E421" s="19" t="s">
        <v>35</v>
      </c>
      <c r="F421" s="19" t="s">
        <v>54</v>
      </c>
      <c r="G421" s="21">
        <v>33.0</v>
      </c>
      <c r="H421" s="22">
        <v>64.8</v>
      </c>
    </row>
    <row r="422">
      <c r="A422" s="19">
        <v>421.0</v>
      </c>
      <c r="B422" s="19">
        <v>476.0</v>
      </c>
      <c r="C422" s="19">
        <v>446.0</v>
      </c>
      <c r="D422" s="19" t="s">
        <v>593</v>
      </c>
      <c r="E422" s="19" t="s">
        <v>594</v>
      </c>
      <c r="F422" s="19" t="s">
        <v>32</v>
      </c>
      <c r="G422" s="21">
        <v>46.0</v>
      </c>
      <c r="H422" s="22">
        <v>59.4</v>
      </c>
    </row>
    <row r="423">
      <c r="A423" s="19">
        <v>422.0</v>
      </c>
      <c r="B423" s="19">
        <v>480.0</v>
      </c>
      <c r="C423" s="19">
        <v>406.0</v>
      </c>
      <c r="D423" s="19" t="s">
        <v>595</v>
      </c>
      <c r="E423" s="19" t="s">
        <v>596</v>
      </c>
      <c r="F423" s="19" t="s">
        <v>23</v>
      </c>
      <c r="G423" s="21">
        <v>27.0</v>
      </c>
      <c r="H423" s="22">
        <v>63.9</v>
      </c>
    </row>
    <row r="424">
      <c r="A424" s="19">
        <v>423.0</v>
      </c>
      <c r="B424" s="19">
        <v>414.0</v>
      </c>
      <c r="C424" s="19">
        <v>417.0</v>
      </c>
      <c r="D424" s="19" t="s">
        <v>597</v>
      </c>
      <c r="E424" s="19" t="s">
        <v>187</v>
      </c>
      <c r="F424" s="19" t="s">
        <v>23</v>
      </c>
      <c r="G424" s="21">
        <v>28.0</v>
      </c>
      <c r="H424" s="22">
        <v>70.2</v>
      </c>
    </row>
    <row r="425">
      <c r="A425" s="19">
        <v>424.0</v>
      </c>
      <c r="B425" s="19">
        <v>440.0</v>
      </c>
      <c r="C425" s="19">
        <v>414.0</v>
      </c>
      <c r="D425" s="19" t="s">
        <v>598</v>
      </c>
      <c r="E425" s="19" t="s">
        <v>599</v>
      </c>
      <c r="F425" s="19" t="s">
        <v>23</v>
      </c>
      <c r="G425" s="21">
        <v>29.0</v>
      </c>
      <c r="H425" s="22">
        <v>62.1</v>
      </c>
    </row>
    <row r="426">
      <c r="A426" s="19">
        <v>425.0</v>
      </c>
      <c r="B426" s="19">
        <v>552.0</v>
      </c>
      <c r="C426" s="19">
        <v>553.0</v>
      </c>
      <c r="D426" s="19" t="s">
        <v>600</v>
      </c>
      <c r="E426" s="19" t="s">
        <v>14</v>
      </c>
      <c r="F426" s="19" t="s">
        <v>32</v>
      </c>
      <c r="G426" s="21">
        <v>47.0</v>
      </c>
      <c r="H426" s="22">
        <v>71.1</v>
      </c>
    </row>
    <row r="427">
      <c r="A427" s="19">
        <v>426.0</v>
      </c>
      <c r="B427" s="19">
        <v>417.0</v>
      </c>
      <c r="C427" s="19">
        <v>448.0</v>
      </c>
      <c r="D427" s="19" t="s">
        <v>601</v>
      </c>
      <c r="E427" s="19" t="s">
        <v>310</v>
      </c>
      <c r="F427" s="19" t="s">
        <v>26</v>
      </c>
      <c r="G427" s="21">
        <v>33.0</v>
      </c>
      <c r="H427" s="22">
        <v>65.2</v>
      </c>
    </row>
    <row r="428">
      <c r="A428" s="19">
        <v>427.0</v>
      </c>
      <c r="B428" s="19">
        <v>489.0</v>
      </c>
      <c r="C428" s="19">
        <v>432.0</v>
      </c>
      <c r="D428" s="19" t="s">
        <v>602</v>
      </c>
      <c r="E428" s="19" t="s">
        <v>603</v>
      </c>
      <c r="F428" s="19" t="s">
        <v>40</v>
      </c>
      <c r="G428" s="21">
        <v>57.0</v>
      </c>
      <c r="H428" s="22">
        <v>59.8</v>
      </c>
    </row>
    <row r="429">
      <c r="A429" s="19">
        <v>428.0</v>
      </c>
      <c r="B429" s="19">
        <v>482.0</v>
      </c>
      <c r="C429" s="19">
        <v>438.0</v>
      </c>
      <c r="D429" s="19" t="s">
        <v>604</v>
      </c>
      <c r="E429" s="19" t="s">
        <v>501</v>
      </c>
      <c r="F429" s="19" t="s">
        <v>15</v>
      </c>
      <c r="G429" s="21">
        <v>23.0</v>
      </c>
      <c r="H429" s="22">
        <v>71.1</v>
      </c>
    </row>
    <row r="430">
      <c r="A430" s="19">
        <v>429.0</v>
      </c>
      <c r="B430" s="19">
        <v>432.0</v>
      </c>
      <c r="C430" s="19">
        <v>423.0</v>
      </c>
      <c r="D430" s="19" t="s">
        <v>605</v>
      </c>
      <c r="E430" s="19" t="s">
        <v>53</v>
      </c>
      <c r="F430" s="19" t="s">
        <v>170</v>
      </c>
      <c r="G430" s="21">
        <v>16.0</v>
      </c>
      <c r="H430" s="22">
        <v>68.9</v>
      </c>
    </row>
    <row r="431">
      <c r="A431" s="19">
        <v>430.0</v>
      </c>
      <c r="B431" s="19">
        <v>409.0</v>
      </c>
      <c r="C431" s="19">
        <v>467.0</v>
      </c>
      <c r="D431" s="19" t="s">
        <v>606</v>
      </c>
      <c r="E431" s="19" t="s">
        <v>43</v>
      </c>
      <c r="F431" s="19" t="s">
        <v>19</v>
      </c>
      <c r="G431" s="21">
        <v>34.0</v>
      </c>
      <c r="H431" s="22">
        <v>58.9</v>
      </c>
    </row>
    <row r="432">
      <c r="A432" s="19">
        <v>431.0</v>
      </c>
      <c r="B432" s="19">
        <v>820.0</v>
      </c>
      <c r="C432" s="19">
        <v>474.0</v>
      </c>
      <c r="D432" s="19" t="s">
        <v>607</v>
      </c>
      <c r="E432" s="19" t="s">
        <v>608</v>
      </c>
      <c r="F432" s="19" t="s">
        <v>32</v>
      </c>
      <c r="G432" s="21">
        <v>48.0</v>
      </c>
      <c r="H432" s="22">
        <v>65.3</v>
      </c>
    </row>
    <row r="433">
      <c r="A433" s="19">
        <v>432.0</v>
      </c>
      <c r="B433" s="19">
        <v>362.0</v>
      </c>
      <c r="C433" s="19">
        <v>450.0</v>
      </c>
      <c r="D433" s="19" t="s">
        <v>609</v>
      </c>
      <c r="E433" s="19" t="s">
        <v>202</v>
      </c>
      <c r="F433" s="19" t="s">
        <v>26</v>
      </c>
      <c r="G433" s="21">
        <v>34.0</v>
      </c>
      <c r="H433" s="22">
        <v>67.5</v>
      </c>
    </row>
    <row r="434">
      <c r="A434" s="19">
        <v>434.0</v>
      </c>
      <c r="B434" s="19">
        <v>355.0</v>
      </c>
      <c r="C434" s="19">
        <v>472.0</v>
      </c>
      <c r="D434" s="19" t="s">
        <v>610</v>
      </c>
      <c r="E434" s="19" t="s">
        <v>142</v>
      </c>
      <c r="F434" s="19" t="s">
        <v>170</v>
      </c>
      <c r="G434" s="21">
        <v>17.0</v>
      </c>
      <c r="H434" s="22">
        <v>67.1</v>
      </c>
    </row>
    <row r="435">
      <c r="A435" s="19">
        <v>435.0</v>
      </c>
      <c r="B435" s="19">
        <v>372.0</v>
      </c>
      <c r="C435" s="19">
        <v>622.0</v>
      </c>
      <c r="D435" s="19" t="s">
        <v>611</v>
      </c>
      <c r="E435" s="19" t="s">
        <v>70</v>
      </c>
      <c r="F435" s="19" t="s">
        <v>54</v>
      </c>
      <c r="G435" s="21">
        <v>34.0</v>
      </c>
      <c r="H435" s="22">
        <v>62.5</v>
      </c>
    </row>
    <row r="436">
      <c r="A436" s="19">
        <v>436.0</v>
      </c>
      <c r="B436" s="19">
        <v>412.0</v>
      </c>
      <c r="C436" s="19">
        <v>433.0</v>
      </c>
      <c r="D436" s="19" t="s">
        <v>612</v>
      </c>
      <c r="E436" s="19" t="s">
        <v>150</v>
      </c>
      <c r="F436" s="19" t="s">
        <v>40</v>
      </c>
      <c r="G436" s="21">
        <v>58.0</v>
      </c>
      <c r="H436" s="22">
        <v>63.5</v>
      </c>
    </row>
    <row r="437">
      <c r="A437" s="19">
        <v>437.0</v>
      </c>
      <c r="B437" s="19">
        <v>520.0</v>
      </c>
      <c r="C437" s="19">
        <v>424.0</v>
      </c>
      <c r="D437" s="19" t="s">
        <v>613</v>
      </c>
      <c r="E437" s="19" t="s">
        <v>166</v>
      </c>
      <c r="F437" s="19" t="s">
        <v>63</v>
      </c>
      <c r="G437" s="21">
        <v>33.0</v>
      </c>
      <c r="H437" s="22">
        <v>58.9</v>
      </c>
    </row>
    <row r="438">
      <c r="A438" s="19">
        <v>439.0</v>
      </c>
      <c r="B438" s="19">
        <v>815.0</v>
      </c>
      <c r="C438" s="19">
        <v>426.0</v>
      </c>
      <c r="D438" s="19" t="s">
        <v>614</v>
      </c>
      <c r="E438" s="19" t="s">
        <v>223</v>
      </c>
      <c r="F438" s="19" t="s">
        <v>63</v>
      </c>
      <c r="G438" s="21">
        <v>34.0</v>
      </c>
      <c r="H438" s="22">
        <v>68.9</v>
      </c>
    </row>
    <row r="439">
      <c r="A439" s="19">
        <v>438.0</v>
      </c>
      <c r="B439" s="19">
        <v>396.0</v>
      </c>
      <c r="C439" s="19">
        <v>447.0</v>
      </c>
      <c r="D439" s="19" t="s">
        <v>464</v>
      </c>
      <c r="E439" s="19" t="s">
        <v>465</v>
      </c>
      <c r="F439" s="19" t="s">
        <v>40</v>
      </c>
      <c r="G439" s="21">
        <v>59.0</v>
      </c>
      <c r="H439" s="22">
        <v>66.2</v>
      </c>
    </row>
    <row r="440">
      <c r="A440" s="19">
        <v>440.0</v>
      </c>
      <c r="B440" s="19">
        <v>525.0</v>
      </c>
      <c r="C440" s="19">
        <v>429.0</v>
      </c>
      <c r="D440" s="19" t="s">
        <v>615</v>
      </c>
      <c r="E440" s="19" t="s">
        <v>616</v>
      </c>
      <c r="F440" s="19" t="s">
        <v>44</v>
      </c>
      <c r="G440" s="21">
        <v>47.0</v>
      </c>
      <c r="H440" s="22">
        <v>65.3</v>
      </c>
    </row>
    <row r="441">
      <c r="A441" s="19">
        <v>441.0</v>
      </c>
      <c r="B441" s="19">
        <v>402.0</v>
      </c>
      <c r="C441" s="19">
        <v>442.0</v>
      </c>
      <c r="D441" s="19" t="s">
        <v>617</v>
      </c>
      <c r="E441" s="19" t="s">
        <v>216</v>
      </c>
      <c r="F441" s="19" t="s">
        <v>23</v>
      </c>
      <c r="G441" s="21">
        <v>30.0</v>
      </c>
      <c r="H441" s="22">
        <v>59.9</v>
      </c>
    </row>
    <row r="442">
      <c r="A442" s="19">
        <v>442.0</v>
      </c>
      <c r="B442" s="19">
        <v>574.0</v>
      </c>
      <c r="C442" s="19">
        <v>401.0</v>
      </c>
      <c r="D442" s="19" t="s">
        <v>618</v>
      </c>
      <c r="E442" s="19" t="s">
        <v>22</v>
      </c>
      <c r="F442" s="19" t="s">
        <v>40</v>
      </c>
      <c r="G442" s="21">
        <v>60.0</v>
      </c>
      <c r="H442" s="22">
        <v>67.5</v>
      </c>
    </row>
    <row r="443">
      <c r="A443" s="19">
        <v>443.0</v>
      </c>
      <c r="B443" s="19">
        <v>499.0</v>
      </c>
      <c r="C443" s="19">
        <v>494.0</v>
      </c>
      <c r="D443" s="19" t="s">
        <v>619</v>
      </c>
      <c r="E443" s="19" t="s">
        <v>620</v>
      </c>
      <c r="F443" s="19" t="s">
        <v>32</v>
      </c>
      <c r="G443" s="21">
        <v>49.0</v>
      </c>
      <c r="H443" s="22">
        <v>63.0</v>
      </c>
    </row>
    <row r="444">
      <c r="A444" s="19">
        <v>444.0</v>
      </c>
      <c r="B444" s="19">
        <v>360.0</v>
      </c>
      <c r="C444" s="19">
        <v>441.0</v>
      </c>
      <c r="D444" s="19" t="s">
        <v>621</v>
      </c>
      <c r="E444" s="19" t="s">
        <v>622</v>
      </c>
      <c r="F444" s="19" t="s">
        <v>38</v>
      </c>
      <c r="G444" s="21">
        <v>30.0</v>
      </c>
      <c r="H444" s="22">
        <v>115.4</v>
      </c>
    </row>
    <row r="445">
      <c r="A445" s="19">
        <v>445.0</v>
      </c>
      <c r="B445" s="19">
        <v>675.0</v>
      </c>
      <c r="C445" s="19">
        <v>421.0</v>
      </c>
      <c r="D445" s="19" t="s">
        <v>623</v>
      </c>
      <c r="E445" s="19" t="s">
        <v>126</v>
      </c>
      <c r="F445" s="19" t="s">
        <v>23</v>
      </c>
      <c r="G445" s="21">
        <v>31.0</v>
      </c>
      <c r="H445" s="22">
        <v>60.7</v>
      </c>
    </row>
    <row r="446">
      <c r="A446" s="19">
        <v>446.0</v>
      </c>
      <c r="B446" s="19">
        <v>415.0</v>
      </c>
      <c r="C446" s="19">
        <v>449.0</v>
      </c>
      <c r="D446" s="19" t="s">
        <v>624</v>
      </c>
      <c r="E446" s="19" t="s">
        <v>310</v>
      </c>
      <c r="F446" s="19" t="s">
        <v>44</v>
      </c>
      <c r="G446" s="21">
        <v>48.0</v>
      </c>
      <c r="H446" s="22">
        <v>60.7</v>
      </c>
    </row>
    <row r="447">
      <c r="A447" s="19">
        <v>447.0</v>
      </c>
      <c r="B447" s="19">
        <v>445.0</v>
      </c>
      <c r="C447" s="19">
        <v>515.0</v>
      </c>
      <c r="D447" s="19" t="s">
        <v>625</v>
      </c>
      <c r="E447" s="19" t="s">
        <v>287</v>
      </c>
      <c r="F447" s="19" t="s">
        <v>26</v>
      </c>
      <c r="G447" s="21">
        <v>35.0</v>
      </c>
      <c r="H447" s="22">
        <v>61.6</v>
      </c>
    </row>
    <row r="448">
      <c r="A448" s="19">
        <v>433.0</v>
      </c>
      <c r="B448" s="19">
        <v>350.0</v>
      </c>
      <c r="C448" s="19">
        <v>459.0</v>
      </c>
      <c r="D448" s="19" t="s">
        <v>463</v>
      </c>
      <c r="E448" s="19" t="s">
        <v>87</v>
      </c>
      <c r="F448" s="19" t="s">
        <v>85</v>
      </c>
      <c r="G448" s="21">
        <v>19.0</v>
      </c>
      <c r="H448" s="22">
        <v>84.2</v>
      </c>
    </row>
    <row r="449">
      <c r="A449" s="19">
        <v>448.0</v>
      </c>
      <c r="B449" s="19">
        <v>509.0</v>
      </c>
      <c r="C449" s="19">
        <v>500.0</v>
      </c>
      <c r="D449" s="19" t="s">
        <v>626</v>
      </c>
      <c r="E449" s="19" t="s">
        <v>223</v>
      </c>
      <c r="F449" s="19" t="s">
        <v>19</v>
      </c>
      <c r="G449" s="21">
        <v>35.0</v>
      </c>
      <c r="H449" s="22">
        <v>59.4</v>
      </c>
    </row>
    <row r="450">
      <c r="A450" s="19">
        <v>449.0</v>
      </c>
      <c r="B450" s="19">
        <v>688.0</v>
      </c>
      <c r="C450" s="19">
        <v>485.0</v>
      </c>
      <c r="D450" s="19" t="s">
        <v>627</v>
      </c>
      <c r="E450" s="19" t="s">
        <v>50</v>
      </c>
      <c r="F450" s="19" t="s">
        <v>91</v>
      </c>
      <c r="G450" s="21">
        <v>15.0</v>
      </c>
      <c r="H450" s="22">
        <v>65.3</v>
      </c>
    </row>
    <row r="451">
      <c r="A451" s="19">
        <v>450.0</v>
      </c>
      <c r="B451" s="19">
        <v>680.0</v>
      </c>
      <c r="C451" s="19">
        <v>435.0</v>
      </c>
      <c r="D451" s="19" t="s">
        <v>628</v>
      </c>
      <c r="E451" s="19" t="s">
        <v>370</v>
      </c>
      <c r="F451" s="19" t="s">
        <v>85</v>
      </c>
      <c r="G451" s="21">
        <v>20.0</v>
      </c>
      <c r="H451" s="22">
        <v>76.6</v>
      </c>
    </row>
    <row r="452">
      <c r="A452" s="19">
        <v>451.0</v>
      </c>
      <c r="B452" s="19">
        <v>551.0</v>
      </c>
      <c r="C452" s="19">
        <v>511.0</v>
      </c>
      <c r="D452" s="19" t="s">
        <v>629</v>
      </c>
      <c r="E452" s="19" t="s">
        <v>57</v>
      </c>
      <c r="F452" s="19" t="s">
        <v>23</v>
      </c>
      <c r="G452" s="21">
        <v>32.0</v>
      </c>
      <c r="H452" s="22">
        <v>65.3</v>
      </c>
    </row>
    <row r="453">
      <c r="A453" s="19">
        <v>452.0</v>
      </c>
      <c r="B453" s="19">
        <v>830.0</v>
      </c>
      <c r="C453" s="19">
        <v>431.0</v>
      </c>
      <c r="D453" s="19" t="s">
        <v>630</v>
      </c>
      <c r="E453" s="19" t="s">
        <v>631</v>
      </c>
      <c r="F453" s="19" t="s">
        <v>40</v>
      </c>
      <c r="G453" s="21">
        <v>61.0</v>
      </c>
      <c r="H453" s="22">
        <v>68.9</v>
      </c>
    </row>
    <row r="454">
      <c r="A454" s="19">
        <v>453.0</v>
      </c>
      <c r="B454" s="19">
        <v>421.0</v>
      </c>
      <c r="C454" s="19">
        <v>527.0</v>
      </c>
      <c r="D454" s="19" t="s">
        <v>632</v>
      </c>
      <c r="E454" s="19" t="s">
        <v>259</v>
      </c>
      <c r="F454" s="19" t="s">
        <v>26</v>
      </c>
      <c r="G454" s="21">
        <v>36.0</v>
      </c>
      <c r="H454" s="22">
        <v>64.8</v>
      </c>
    </row>
    <row r="455">
      <c r="A455" s="19">
        <v>454.0</v>
      </c>
      <c r="B455" s="19">
        <v>579.0</v>
      </c>
      <c r="C455" s="19">
        <v>503.0</v>
      </c>
      <c r="D455" s="19" t="s">
        <v>633</v>
      </c>
      <c r="E455" s="19" t="s">
        <v>200</v>
      </c>
      <c r="F455" s="19" t="s">
        <v>40</v>
      </c>
      <c r="G455" s="21">
        <v>62.0</v>
      </c>
      <c r="H455" s="22">
        <v>61.7</v>
      </c>
    </row>
    <row r="456">
      <c r="A456" s="19">
        <v>455.0</v>
      </c>
      <c r="B456" s="19">
        <v>478.0</v>
      </c>
      <c r="C456" s="19">
        <v>437.0</v>
      </c>
      <c r="D456" s="19" t="s">
        <v>634</v>
      </c>
      <c r="E456" s="19" t="s">
        <v>459</v>
      </c>
      <c r="F456" s="19" t="s">
        <v>44</v>
      </c>
      <c r="G456" s="21">
        <v>49.0</v>
      </c>
      <c r="H456" s="22">
        <v>71.1</v>
      </c>
    </row>
    <row r="457">
      <c r="A457" s="19">
        <v>456.0</v>
      </c>
      <c r="B457" s="19">
        <v>737.0</v>
      </c>
      <c r="C457" s="19">
        <v>536.0</v>
      </c>
      <c r="D457" s="19" t="s">
        <v>635</v>
      </c>
      <c r="E457" s="19" t="s">
        <v>158</v>
      </c>
      <c r="F457" s="19" t="s">
        <v>44</v>
      </c>
      <c r="G457" s="21">
        <v>50.0</v>
      </c>
      <c r="H457" s="22">
        <v>66.2</v>
      </c>
    </row>
    <row r="458">
      <c r="A458" s="19">
        <v>457.0</v>
      </c>
      <c r="B458" s="19">
        <v>707.0</v>
      </c>
      <c r="C458" s="19">
        <v>439.0</v>
      </c>
      <c r="D458" s="19" t="s">
        <v>636</v>
      </c>
      <c r="E458" s="19" t="s">
        <v>124</v>
      </c>
      <c r="F458" s="19" t="s">
        <v>38</v>
      </c>
      <c r="G458" s="21">
        <v>31.0</v>
      </c>
      <c r="H458" s="22">
        <v>63.5</v>
      </c>
    </row>
    <row r="459">
      <c r="A459" s="19">
        <v>458.0</v>
      </c>
      <c r="B459" s="19">
        <v>782.0</v>
      </c>
      <c r="C459" s="19">
        <v>541.0</v>
      </c>
      <c r="D459" s="19" t="s">
        <v>637</v>
      </c>
      <c r="E459" s="19" t="s">
        <v>471</v>
      </c>
      <c r="F459" s="19" t="s">
        <v>85</v>
      </c>
      <c r="G459" s="21">
        <v>21.0</v>
      </c>
      <c r="H459" s="22">
        <v>79.7</v>
      </c>
    </row>
    <row r="460">
      <c r="A460" s="19">
        <v>459.0</v>
      </c>
      <c r="B460" s="19">
        <v>766.0</v>
      </c>
      <c r="C460" s="19">
        <v>488.0</v>
      </c>
      <c r="D460" s="19" t="s">
        <v>638</v>
      </c>
      <c r="E460" s="19" t="s">
        <v>370</v>
      </c>
      <c r="F460" s="19" t="s">
        <v>32</v>
      </c>
      <c r="G460" s="21">
        <v>50.0</v>
      </c>
      <c r="H460" s="22">
        <v>68.9</v>
      </c>
    </row>
    <row r="461">
      <c r="A461" s="19">
        <v>460.0</v>
      </c>
      <c r="B461" s="19">
        <v>356.0</v>
      </c>
      <c r="C461" s="19">
        <v>484.0</v>
      </c>
      <c r="D461" s="19" t="s">
        <v>639</v>
      </c>
      <c r="E461" s="19" t="s">
        <v>312</v>
      </c>
      <c r="F461" s="19" t="s">
        <v>449</v>
      </c>
      <c r="G461" s="21">
        <v>4.0</v>
      </c>
      <c r="H461" s="22">
        <v>68.9</v>
      </c>
    </row>
    <row r="462">
      <c r="A462" s="19">
        <v>461.0</v>
      </c>
      <c r="B462" s="19">
        <v>829.0</v>
      </c>
      <c r="C462" s="19">
        <v>443.0</v>
      </c>
      <c r="D462" s="19" t="s">
        <v>640</v>
      </c>
      <c r="E462" s="19" t="s">
        <v>588</v>
      </c>
      <c r="F462" s="19" t="s">
        <v>32</v>
      </c>
      <c r="G462" s="21">
        <v>51.0</v>
      </c>
      <c r="H462" s="22">
        <v>70.2</v>
      </c>
    </row>
    <row r="463">
      <c r="A463" s="19">
        <v>462.0</v>
      </c>
      <c r="B463" s="19">
        <v>724.0</v>
      </c>
      <c r="C463" s="19">
        <v>584.0</v>
      </c>
      <c r="D463" s="19" t="s">
        <v>641</v>
      </c>
      <c r="E463" s="19" t="s">
        <v>270</v>
      </c>
      <c r="F463" s="19" t="s">
        <v>32</v>
      </c>
      <c r="G463" s="21">
        <v>52.0</v>
      </c>
      <c r="H463" s="22">
        <v>68.9</v>
      </c>
    </row>
    <row r="464">
      <c r="A464" s="19">
        <v>463.0</v>
      </c>
      <c r="B464" s="19">
        <v>827.0</v>
      </c>
      <c r="C464" s="19">
        <v>393.0</v>
      </c>
      <c r="D464" s="19" t="s">
        <v>642</v>
      </c>
      <c r="E464" s="19" t="s">
        <v>185</v>
      </c>
      <c r="F464" s="19" t="s">
        <v>85</v>
      </c>
      <c r="G464" s="21">
        <v>22.0</v>
      </c>
      <c r="H464" s="22">
        <v>84.3</v>
      </c>
    </row>
    <row r="465">
      <c r="A465" s="19">
        <v>464.0</v>
      </c>
      <c r="B465" s="19">
        <v>543.0</v>
      </c>
      <c r="C465" s="19">
        <v>518.0</v>
      </c>
      <c r="D465" s="19" t="s">
        <v>643</v>
      </c>
      <c r="E465" s="19" t="s">
        <v>47</v>
      </c>
      <c r="F465" s="19" t="s">
        <v>54</v>
      </c>
      <c r="G465" s="21">
        <v>35.0</v>
      </c>
      <c r="H465" s="22">
        <v>70.2</v>
      </c>
    </row>
    <row r="466">
      <c r="A466" s="19">
        <v>465.0</v>
      </c>
      <c r="B466" s="19">
        <v>460.0</v>
      </c>
      <c r="C466" s="19">
        <v>605.0</v>
      </c>
      <c r="D466" s="19" t="s">
        <v>644</v>
      </c>
      <c r="E466" s="19" t="s">
        <v>223</v>
      </c>
      <c r="F466" s="19" t="s">
        <v>32</v>
      </c>
      <c r="G466" s="21">
        <v>53.0</v>
      </c>
      <c r="H466" s="22">
        <v>63.0</v>
      </c>
    </row>
    <row r="467">
      <c r="A467" s="19">
        <v>466.0</v>
      </c>
      <c r="B467" s="19">
        <v>653.0</v>
      </c>
      <c r="C467" s="19">
        <v>591.0</v>
      </c>
      <c r="D467" s="19" t="s">
        <v>645</v>
      </c>
      <c r="E467" s="19" t="s">
        <v>646</v>
      </c>
      <c r="F467" s="19" t="s">
        <v>454</v>
      </c>
      <c r="G467" s="21">
        <v>5.0</v>
      </c>
      <c r="H467" s="22">
        <v>68.9</v>
      </c>
    </row>
    <row r="468">
      <c r="A468" s="19">
        <v>467.0</v>
      </c>
      <c r="B468" s="19">
        <v>505.0</v>
      </c>
      <c r="C468" s="19">
        <v>554.0</v>
      </c>
      <c r="D468" s="19" t="s">
        <v>647</v>
      </c>
      <c r="E468" s="19" t="s">
        <v>142</v>
      </c>
      <c r="F468" s="19" t="s">
        <v>44</v>
      </c>
      <c r="G468" s="21">
        <v>51.0</v>
      </c>
      <c r="H468" s="22">
        <v>60.7</v>
      </c>
    </row>
    <row r="469">
      <c r="A469" s="19">
        <v>468.0</v>
      </c>
      <c r="B469" s="19">
        <v>775.0</v>
      </c>
      <c r="C469" s="19">
        <v>516.0</v>
      </c>
      <c r="D469" s="19" t="s">
        <v>648</v>
      </c>
      <c r="E469" s="19" t="s">
        <v>158</v>
      </c>
      <c r="F469" s="19" t="s">
        <v>38</v>
      </c>
      <c r="G469" s="21">
        <v>32.0</v>
      </c>
      <c r="H469" s="22">
        <v>67.5</v>
      </c>
    </row>
    <row r="470">
      <c r="A470" s="19">
        <v>469.0</v>
      </c>
      <c r="B470" s="19">
        <v>616.0</v>
      </c>
      <c r="C470" s="19">
        <v>454.0</v>
      </c>
      <c r="D470" s="19" t="s">
        <v>649</v>
      </c>
      <c r="E470" s="19" t="s">
        <v>370</v>
      </c>
      <c r="F470" s="19" t="s">
        <v>23</v>
      </c>
      <c r="G470" s="21">
        <v>33.0</v>
      </c>
      <c r="H470" s="22">
        <v>63.0</v>
      </c>
    </row>
    <row r="471">
      <c r="A471" s="19">
        <v>470.0</v>
      </c>
      <c r="B471" s="19">
        <v>488.0</v>
      </c>
      <c r="C471" s="19">
        <v>455.0</v>
      </c>
      <c r="D471" s="19" t="s">
        <v>650</v>
      </c>
      <c r="E471" s="19" t="s">
        <v>133</v>
      </c>
      <c r="F471" s="19" t="s">
        <v>19</v>
      </c>
      <c r="G471" s="21">
        <v>36.0</v>
      </c>
      <c r="H471" s="22">
        <v>60.7</v>
      </c>
    </row>
    <row r="472">
      <c r="A472" s="19">
        <v>471.0</v>
      </c>
      <c r="B472" s="19">
        <v>529.0</v>
      </c>
      <c r="C472" s="19">
        <v>456.0</v>
      </c>
      <c r="D472" s="19" t="s">
        <v>651</v>
      </c>
      <c r="E472" s="19" t="s">
        <v>156</v>
      </c>
      <c r="F472" s="19" t="s">
        <v>170</v>
      </c>
      <c r="G472" s="21">
        <v>18.0</v>
      </c>
      <c r="H472" s="22">
        <v>67.1</v>
      </c>
    </row>
    <row r="473">
      <c r="A473" s="19">
        <v>472.0</v>
      </c>
      <c r="B473" s="19">
        <v>448.0</v>
      </c>
      <c r="C473" s="19">
        <v>463.0</v>
      </c>
      <c r="D473" s="19" t="s">
        <v>652</v>
      </c>
      <c r="E473" s="19" t="s">
        <v>340</v>
      </c>
      <c r="F473" s="19" t="s">
        <v>170</v>
      </c>
      <c r="G473" s="21">
        <v>19.0</v>
      </c>
      <c r="H473" s="22">
        <v>63.4</v>
      </c>
    </row>
    <row r="474">
      <c r="A474" s="19">
        <v>473.0</v>
      </c>
      <c r="B474" s="19">
        <v>580.0</v>
      </c>
      <c r="C474" s="19">
        <v>556.0</v>
      </c>
      <c r="D474" s="19" t="s">
        <v>653</v>
      </c>
      <c r="E474" s="19" t="s">
        <v>245</v>
      </c>
      <c r="F474" s="19" t="s">
        <v>63</v>
      </c>
      <c r="G474" s="21">
        <v>35.0</v>
      </c>
      <c r="H474" s="22">
        <v>65.3</v>
      </c>
    </row>
    <row r="475">
      <c r="A475" s="19">
        <v>474.0</v>
      </c>
      <c r="B475" s="19">
        <v>576.0</v>
      </c>
      <c r="C475" s="19">
        <v>457.0</v>
      </c>
      <c r="D475" s="19" t="s">
        <v>654</v>
      </c>
      <c r="E475" s="19" t="s">
        <v>655</v>
      </c>
      <c r="F475" s="19" t="s">
        <v>26</v>
      </c>
      <c r="G475" s="21">
        <v>37.0</v>
      </c>
      <c r="H475" s="22">
        <v>76.6</v>
      </c>
    </row>
    <row r="476">
      <c r="A476" s="19">
        <v>475.0</v>
      </c>
      <c r="B476" s="19">
        <v>559.0</v>
      </c>
      <c r="C476" s="19">
        <v>458.0</v>
      </c>
      <c r="D476" s="19" t="s">
        <v>656</v>
      </c>
      <c r="E476" s="19" t="s">
        <v>308</v>
      </c>
      <c r="F476" s="19" t="s">
        <v>40</v>
      </c>
      <c r="G476" s="21">
        <v>63.0</v>
      </c>
      <c r="H476" s="22">
        <v>66.2</v>
      </c>
    </row>
    <row r="477">
      <c r="A477" s="19">
        <v>476.0</v>
      </c>
      <c r="B477" s="19">
        <v>783.0</v>
      </c>
      <c r="C477" s="19">
        <v>543.0</v>
      </c>
      <c r="D477" s="19" t="s">
        <v>657</v>
      </c>
      <c r="E477" s="19" t="s">
        <v>177</v>
      </c>
      <c r="F477" s="19" t="s">
        <v>19</v>
      </c>
      <c r="G477" s="21">
        <v>37.0</v>
      </c>
      <c r="H477" s="22">
        <v>61.6</v>
      </c>
    </row>
    <row r="478">
      <c r="A478" s="19">
        <v>477.0</v>
      </c>
      <c r="B478" s="19">
        <v>657.0</v>
      </c>
      <c r="C478" s="19">
        <v>493.0</v>
      </c>
      <c r="D478" s="19" t="s">
        <v>658</v>
      </c>
      <c r="E478" s="19" t="s">
        <v>501</v>
      </c>
      <c r="F478" s="19" t="s">
        <v>91</v>
      </c>
      <c r="G478" s="21">
        <v>16.0</v>
      </c>
      <c r="H478" s="22">
        <v>73.8</v>
      </c>
    </row>
    <row r="479">
      <c r="A479" s="19">
        <v>478.0</v>
      </c>
      <c r="B479" s="19">
        <v>802.0</v>
      </c>
      <c r="C479" s="19">
        <v>603.0</v>
      </c>
      <c r="D479" s="19" t="s">
        <v>659</v>
      </c>
      <c r="E479" s="19" t="s">
        <v>660</v>
      </c>
      <c r="F479" s="19" t="s">
        <v>19</v>
      </c>
      <c r="G479" s="21">
        <v>38.0</v>
      </c>
      <c r="H479" s="22">
        <v>65.3</v>
      </c>
    </row>
    <row r="480">
      <c r="A480" s="19">
        <v>479.0</v>
      </c>
      <c r="B480" s="19">
        <v>634.0</v>
      </c>
      <c r="C480" s="19">
        <v>574.0</v>
      </c>
      <c r="D480" s="19" t="s">
        <v>661</v>
      </c>
      <c r="E480" s="19" t="s">
        <v>243</v>
      </c>
      <c r="F480" s="19" t="s">
        <v>44</v>
      </c>
      <c r="G480" s="21">
        <v>52.0</v>
      </c>
      <c r="H480" s="22">
        <v>76.5</v>
      </c>
    </row>
    <row r="481">
      <c r="A481" s="19">
        <v>480.0</v>
      </c>
      <c r="B481" s="19">
        <v>640.0</v>
      </c>
      <c r="C481" s="19">
        <v>567.0</v>
      </c>
      <c r="D481" s="19" t="s">
        <v>662</v>
      </c>
      <c r="E481" s="19" t="s">
        <v>663</v>
      </c>
      <c r="F481" s="19" t="s">
        <v>85</v>
      </c>
      <c r="G481" s="21">
        <v>23.0</v>
      </c>
      <c r="H481" s="22">
        <v>99.1</v>
      </c>
    </row>
    <row r="482">
      <c r="A482" s="19">
        <v>481.0</v>
      </c>
      <c r="B482" s="19">
        <v>816.0</v>
      </c>
      <c r="C482" s="19">
        <v>595.0</v>
      </c>
      <c r="D482" s="19" t="s">
        <v>664</v>
      </c>
      <c r="E482" s="19" t="s">
        <v>212</v>
      </c>
      <c r="F482" s="19" t="s">
        <v>85</v>
      </c>
      <c r="G482" s="21">
        <v>24.0</v>
      </c>
      <c r="H482" s="22">
        <v>68.9</v>
      </c>
    </row>
    <row r="483">
      <c r="A483" s="19">
        <v>482.0</v>
      </c>
      <c r="B483" s="19">
        <v>638.0</v>
      </c>
      <c r="C483" s="19">
        <v>580.0</v>
      </c>
      <c r="D483" s="19" t="s">
        <v>665</v>
      </c>
      <c r="E483" s="19" t="s">
        <v>133</v>
      </c>
      <c r="F483" s="19" t="s">
        <v>23</v>
      </c>
      <c r="G483" s="21">
        <v>34.0</v>
      </c>
      <c r="H483" s="22">
        <v>99.1</v>
      </c>
    </row>
    <row r="484">
      <c r="A484" s="19">
        <v>483.0</v>
      </c>
      <c r="B484" s="19">
        <v>725.0</v>
      </c>
      <c r="C484" s="19">
        <v>610.0</v>
      </c>
      <c r="D484" s="19" t="s">
        <v>666</v>
      </c>
      <c r="E484" s="19" t="s">
        <v>287</v>
      </c>
      <c r="F484" s="19" t="s">
        <v>44</v>
      </c>
      <c r="G484" s="21">
        <v>53.0</v>
      </c>
      <c r="H484" s="22">
        <v>79.7</v>
      </c>
    </row>
    <row r="485">
      <c r="A485" s="19">
        <v>484.0</v>
      </c>
      <c r="B485" s="19">
        <v>718.0</v>
      </c>
      <c r="C485" s="19">
        <v>640.0</v>
      </c>
      <c r="D485" s="19" t="s">
        <v>667</v>
      </c>
      <c r="E485" s="19" t="s">
        <v>31</v>
      </c>
      <c r="F485" s="19" t="s">
        <v>26</v>
      </c>
      <c r="G485" s="21">
        <v>38.0</v>
      </c>
      <c r="H485" s="22">
        <v>70.2</v>
      </c>
    </row>
    <row r="486">
      <c r="A486" s="19">
        <v>486.0</v>
      </c>
      <c r="B486" s="19">
        <v>726.0</v>
      </c>
      <c r="C486" s="19">
        <v>530.0</v>
      </c>
      <c r="D486" s="19" t="s">
        <v>668</v>
      </c>
      <c r="E486" s="19" t="s">
        <v>334</v>
      </c>
      <c r="F486" s="19" t="s">
        <v>170</v>
      </c>
      <c r="G486" s="21">
        <v>20.0</v>
      </c>
      <c r="H486" s="22">
        <v>99.1</v>
      </c>
    </row>
    <row r="487">
      <c r="A487" s="19">
        <v>485.0</v>
      </c>
      <c r="B487" s="19">
        <v>797.0</v>
      </c>
      <c r="C487" s="19">
        <v>465.0</v>
      </c>
      <c r="D487" s="19" t="s">
        <v>669</v>
      </c>
      <c r="E487" s="19" t="s">
        <v>646</v>
      </c>
      <c r="F487" s="19" t="s">
        <v>26</v>
      </c>
      <c r="G487" s="21">
        <v>39.0</v>
      </c>
      <c r="H487" s="22">
        <v>76.6</v>
      </c>
    </row>
    <row r="488">
      <c r="A488" s="19">
        <v>487.0</v>
      </c>
      <c r="B488" s="19">
        <v>807.0</v>
      </c>
      <c r="C488" s="19">
        <v>661.0</v>
      </c>
      <c r="D488" s="19" t="s">
        <v>670</v>
      </c>
      <c r="E488" s="19" t="s">
        <v>70</v>
      </c>
      <c r="F488" s="19" t="s">
        <v>54</v>
      </c>
      <c r="G488" s="21">
        <v>36.0</v>
      </c>
      <c r="H488" s="22">
        <v>76.5</v>
      </c>
    </row>
    <row r="489">
      <c r="A489" s="19">
        <v>488.0</v>
      </c>
      <c r="B489" s="19">
        <v>828.0</v>
      </c>
      <c r="C489" s="19">
        <v>575.0</v>
      </c>
      <c r="D489" s="19" t="s">
        <v>671</v>
      </c>
      <c r="E489" s="19" t="s">
        <v>663</v>
      </c>
      <c r="F489" s="19" t="s">
        <v>32</v>
      </c>
      <c r="G489" s="21">
        <v>54.0</v>
      </c>
      <c r="H489" s="22">
        <v>76.6</v>
      </c>
    </row>
    <row r="490">
      <c r="A490" s="19">
        <v>489.0</v>
      </c>
      <c r="B490" s="19">
        <v>454.0</v>
      </c>
      <c r="C490" s="19">
        <v>407.0</v>
      </c>
      <c r="D490" s="19" t="s">
        <v>672</v>
      </c>
      <c r="E490" s="19" t="s">
        <v>14</v>
      </c>
      <c r="F490" s="19" t="s">
        <v>38</v>
      </c>
      <c r="G490" s="21">
        <v>33.0</v>
      </c>
      <c r="H490" s="22">
        <v>68.9</v>
      </c>
    </row>
    <row r="491">
      <c r="A491" s="19">
        <v>490.0</v>
      </c>
      <c r="B491" s="19">
        <v>470.0</v>
      </c>
      <c r="C491" s="19">
        <v>462.0</v>
      </c>
      <c r="D491" s="19" t="s">
        <v>673</v>
      </c>
      <c r="E491" s="19" t="s">
        <v>663</v>
      </c>
      <c r="F491" s="19" t="s">
        <v>44</v>
      </c>
      <c r="G491" s="21">
        <v>54.0</v>
      </c>
      <c r="H491" s="22">
        <v>63.4</v>
      </c>
    </row>
    <row r="492">
      <c r="A492" s="19">
        <v>491.0</v>
      </c>
      <c r="B492" s="19">
        <v>373.0</v>
      </c>
      <c r="C492" s="19">
        <v>540.0</v>
      </c>
      <c r="D492" s="19" t="s">
        <v>674</v>
      </c>
      <c r="E492" s="19" t="s">
        <v>622</v>
      </c>
      <c r="F492" s="19" t="s">
        <v>44</v>
      </c>
      <c r="G492" s="21">
        <v>55.0</v>
      </c>
      <c r="H492" s="22">
        <v>67.1</v>
      </c>
    </row>
    <row r="493">
      <c r="A493" s="19">
        <v>492.0</v>
      </c>
      <c r="B493" s="19">
        <v>736.0</v>
      </c>
      <c r="C493" s="19">
        <v>460.0</v>
      </c>
      <c r="D493" s="19" t="s">
        <v>675</v>
      </c>
      <c r="E493" s="19" t="s">
        <v>47</v>
      </c>
      <c r="F493" s="19" t="s">
        <v>44</v>
      </c>
      <c r="G493" s="21">
        <v>56.0</v>
      </c>
      <c r="H493" s="22">
        <v>76.6</v>
      </c>
    </row>
    <row r="494">
      <c r="A494" s="19">
        <v>493.0</v>
      </c>
      <c r="B494" s="19">
        <v>411.0</v>
      </c>
      <c r="C494" s="19">
        <v>495.0</v>
      </c>
      <c r="D494" s="19" t="s">
        <v>676</v>
      </c>
      <c r="E494" s="19" t="s">
        <v>603</v>
      </c>
      <c r="F494" s="19" t="s">
        <v>23</v>
      </c>
      <c r="G494" s="21">
        <v>35.0</v>
      </c>
      <c r="H494" s="22">
        <v>58.9</v>
      </c>
    </row>
    <row r="495">
      <c r="A495" s="19">
        <v>494.0</v>
      </c>
      <c r="B495" s="19">
        <v>377.0</v>
      </c>
      <c r="C495" s="19">
        <v>512.0</v>
      </c>
      <c r="D495" s="19" t="s">
        <v>677</v>
      </c>
      <c r="E495" s="19" t="s">
        <v>67</v>
      </c>
      <c r="F495" s="19" t="s">
        <v>23</v>
      </c>
      <c r="G495" s="21">
        <v>36.0</v>
      </c>
      <c r="H495" s="22">
        <v>58.9</v>
      </c>
    </row>
    <row r="496">
      <c r="A496" s="19">
        <v>495.0</v>
      </c>
      <c r="B496" s="19">
        <v>439.0</v>
      </c>
      <c r="C496" s="19">
        <v>471.0</v>
      </c>
      <c r="D496" s="19" t="s">
        <v>678</v>
      </c>
      <c r="E496" s="19" t="s">
        <v>150</v>
      </c>
      <c r="F496" s="19" t="s">
        <v>54</v>
      </c>
      <c r="G496" s="21">
        <v>37.0</v>
      </c>
      <c r="H496" s="22">
        <v>65.3</v>
      </c>
    </row>
    <row r="497">
      <c r="A497" s="19">
        <v>496.0</v>
      </c>
      <c r="B497" s="19">
        <v>390.0</v>
      </c>
      <c r="C497" s="19">
        <v>466.0</v>
      </c>
      <c r="D497" s="19" t="s">
        <v>679</v>
      </c>
      <c r="E497" s="19" t="s">
        <v>663</v>
      </c>
      <c r="F497" s="19" t="s">
        <v>54</v>
      </c>
      <c r="G497" s="21">
        <v>38.0</v>
      </c>
      <c r="H497" s="22">
        <v>93.7</v>
      </c>
    </row>
    <row r="498">
      <c r="A498" s="19">
        <v>497.0</v>
      </c>
      <c r="B498" s="19">
        <v>607.0</v>
      </c>
      <c r="C498" s="19">
        <v>469.0</v>
      </c>
      <c r="D498" s="19" t="s">
        <v>680</v>
      </c>
      <c r="E498" s="19" t="s">
        <v>398</v>
      </c>
      <c r="F498" s="19" t="s">
        <v>63</v>
      </c>
      <c r="G498" s="21">
        <v>36.0</v>
      </c>
      <c r="H498" s="22">
        <v>66.2</v>
      </c>
    </row>
    <row r="499">
      <c r="A499" s="19">
        <v>498.0</v>
      </c>
      <c r="B499" s="19">
        <v>387.0</v>
      </c>
      <c r="C499" s="19">
        <v>498.0</v>
      </c>
      <c r="D499" s="19" t="s">
        <v>681</v>
      </c>
      <c r="E499" s="19" t="s">
        <v>67</v>
      </c>
      <c r="F499" s="19" t="s">
        <v>682</v>
      </c>
      <c r="G499" s="21">
        <v>1.0</v>
      </c>
      <c r="H499" s="22">
        <v>68.9</v>
      </c>
    </row>
    <row r="500">
      <c r="A500" s="19">
        <v>499.0</v>
      </c>
      <c r="B500" s="19">
        <v>516.0</v>
      </c>
      <c r="C500" s="19">
        <v>444.0</v>
      </c>
      <c r="D500" s="19" t="s">
        <v>683</v>
      </c>
      <c r="E500" s="19" t="s">
        <v>204</v>
      </c>
      <c r="F500" s="19" t="s">
        <v>54</v>
      </c>
      <c r="G500" s="21">
        <v>39.0</v>
      </c>
      <c r="H500" s="22">
        <v>69.8</v>
      </c>
    </row>
    <row r="501">
      <c r="A501" s="19">
        <v>500.0</v>
      </c>
      <c r="B501" s="19">
        <v>693.0</v>
      </c>
      <c r="C501" s="19">
        <v>468.0</v>
      </c>
      <c r="D501" s="19" t="s">
        <v>684</v>
      </c>
      <c r="E501" s="19" t="s">
        <v>130</v>
      </c>
      <c r="F501" s="19" t="s">
        <v>63</v>
      </c>
      <c r="G501" s="21">
        <v>37.0</v>
      </c>
      <c r="H501" s="22">
        <v>63.0</v>
      </c>
    </row>
    <row r="502">
      <c r="A502" s="19">
        <v>501.0</v>
      </c>
      <c r="B502" s="19">
        <v>533.0</v>
      </c>
      <c r="C502" s="19">
        <v>473.0</v>
      </c>
      <c r="D502" s="19" t="s">
        <v>685</v>
      </c>
      <c r="E502" s="19" t="s">
        <v>501</v>
      </c>
      <c r="F502" s="19" t="s">
        <v>40</v>
      </c>
      <c r="G502" s="21">
        <v>64.0</v>
      </c>
      <c r="H502" s="22">
        <v>65.3</v>
      </c>
    </row>
    <row r="503">
      <c r="A503" s="19">
        <v>502.0</v>
      </c>
      <c r="B503" s="19">
        <v>500.0</v>
      </c>
      <c r="C503" s="19">
        <v>390.0</v>
      </c>
      <c r="D503" s="19" t="s">
        <v>686</v>
      </c>
      <c r="E503" s="19" t="s">
        <v>212</v>
      </c>
      <c r="F503" s="19" t="s">
        <v>38</v>
      </c>
      <c r="G503" s="21">
        <v>34.0</v>
      </c>
      <c r="H503" s="22">
        <v>70.2</v>
      </c>
    </row>
    <row r="504">
      <c r="A504" s="19">
        <v>504.0</v>
      </c>
      <c r="B504" s="19">
        <v>386.0</v>
      </c>
      <c r="C504" s="19">
        <v>504.0</v>
      </c>
      <c r="D504" s="19" t="s">
        <v>687</v>
      </c>
      <c r="E504" s="19" t="s">
        <v>655</v>
      </c>
      <c r="F504" s="19" t="s">
        <v>26</v>
      </c>
      <c r="G504" s="21">
        <v>40.0</v>
      </c>
      <c r="H504" s="22">
        <v>86.5</v>
      </c>
    </row>
    <row r="505">
      <c r="A505" s="19">
        <v>503.0</v>
      </c>
      <c r="B505" s="19">
        <v>484.0</v>
      </c>
      <c r="C505" s="19">
        <v>461.0</v>
      </c>
      <c r="D505" s="19" t="s">
        <v>688</v>
      </c>
      <c r="E505" s="19" t="s">
        <v>82</v>
      </c>
      <c r="F505" s="19" t="s">
        <v>40</v>
      </c>
      <c r="G505" s="21">
        <v>65.0</v>
      </c>
      <c r="H505" s="22">
        <v>63.0</v>
      </c>
    </row>
    <row r="506">
      <c r="A506" s="19">
        <v>505.0</v>
      </c>
      <c r="B506" s="19">
        <v>752.0</v>
      </c>
      <c r="C506" s="19">
        <v>666.0</v>
      </c>
      <c r="D506" s="19" t="s">
        <v>689</v>
      </c>
      <c r="E506" s="19" t="s">
        <v>59</v>
      </c>
      <c r="F506" s="19" t="s">
        <v>32</v>
      </c>
      <c r="G506" s="21">
        <v>55.0</v>
      </c>
      <c r="H506" s="22">
        <v>67.5</v>
      </c>
    </row>
    <row r="507">
      <c r="A507" s="19">
        <v>506.0</v>
      </c>
      <c r="B507" s="19">
        <v>365.0</v>
      </c>
      <c r="C507" s="19">
        <v>514.0</v>
      </c>
      <c r="D507" s="19" t="s">
        <v>690</v>
      </c>
      <c r="E507" s="19" t="s">
        <v>312</v>
      </c>
      <c r="F507" s="19" t="s">
        <v>26</v>
      </c>
      <c r="G507" s="21">
        <v>41.0</v>
      </c>
      <c r="H507" s="22">
        <v>84.2</v>
      </c>
    </row>
    <row r="508">
      <c r="A508" s="19">
        <v>507.0</v>
      </c>
      <c r="B508" s="19">
        <v>732.0</v>
      </c>
      <c r="C508" s="19">
        <v>475.0</v>
      </c>
      <c r="D508" s="19" t="s">
        <v>691</v>
      </c>
      <c r="E508" s="19" t="s">
        <v>446</v>
      </c>
      <c r="F508" s="19" t="s">
        <v>26</v>
      </c>
      <c r="G508" s="21">
        <v>42.0</v>
      </c>
      <c r="H508" s="22">
        <v>76.5</v>
      </c>
    </row>
    <row r="509">
      <c r="A509" s="19">
        <v>508.0</v>
      </c>
      <c r="B509" s="19">
        <v>485.0</v>
      </c>
      <c r="C509" s="19">
        <v>479.0</v>
      </c>
      <c r="D509" s="19" t="s">
        <v>692</v>
      </c>
      <c r="E509" s="19" t="s">
        <v>47</v>
      </c>
      <c r="F509" s="19" t="s">
        <v>170</v>
      </c>
      <c r="G509" s="21">
        <v>21.0</v>
      </c>
      <c r="H509" s="22">
        <v>61.6</v>
      </c>
    </row>
    <row r="510">
      <c r="A510" s="19">
        <v>509.0</v>
      </c>
      <c r="B510" s="19">
        <v>566.0</v>
      </c>
      <c r="C510" s="19">
        <v>476.0</v>
      </c>
      <c r="D510" s="19" t="s">
        <v>693</v>
      </c>
      <c r="E510" s="19" t="s">
        <v>101</v>
      </c>
      <c r="F510" s="19" t="s">
        <v>38</v>
      </c>
      <c r="G510" s="21">
        <v>35.0</v>
      </c>
      <c r="H510" s="22">
        <v>61.7</v>
      </c>
    </row>
    <row r="511">
      <c r="A511" s="19">
        <v>510.0</v>
      </c>
      <c r="B511" s="19">
        <v>507.0</v>
      </c>
      <c r="C511" s="19">
        <v>477.0</v>
      </c>
      <c r="D511" s="19" t="s">
        <v>694</v>
      </c>
      <c r="E511" s="19" t="s">
        <v>695</v>
      </c>
      <c r="F511" s="19" t="s">
        <v>15</v>
      </c>
      <c r="G511" s="21">
        <v>24.0</v>
      </c>
      <c r="H511" s="22">
        <v>63.0</v>
      </c>
    </row>
    <row r="512">
      <c r="A512" s="19">
        <v>511.0</v>
      </c>
      <c r="B512" s="19">
        <v>496.0</v>
      </c>
      <c r="C512" s="19">
        <v>478.0</v>
      </c>
      <c r="D512" s="19" t="s">
        <v>696</v>
      </c>
      <c r="E512" s="19" t="s">
        <v>137</v>
      </c>
      <c r="F512" s="19" t="s">
        <v>170</v>
      </c>
      <c r="G512" s="21">
        <v>22.0</v>
      </c>
      <c r="H512" s="22">
        <v>65.3</v>
      </c>
    </row>
    <row r="513">
      <c r="A513" s="19">
        <v>512.0</v>
      </c>
      <c r="B513" s="19">
        <v>502.0</v>
      </c>
      <c r="C513" s="19">
        <v>480.0</v>
      </c>
      <c r="D513" s="19" t="s">
        <v>466</v>
      </c>
      <c r="E513" s="19" t="s">
        <v>259</v>
      </c>
      <c r="F513" s="19" t="s">
        <v>44</v>
      </c>
      <c r="G513" s="21">
        <v>57.0</v>
      </c>
      <c r="H513" s="22">
        <v>60.3</v>
      </c>
    </row>
    <row r="514">
      <c r="A514" s="19">
        <v>513.0</v>
      </c>
      <c r="B514" s="19">
        <v>503.0</v>
      </c>
      <c r="C514" s="19">
        <v>481.0</v>
      </c>
      <c r="D514" s="19" t="s">
        <v>697</v>
      </c>
      <c r="E514" s="19" t="s">
        <v>204</v>
      </c>
      <c r="F514" s="19" t="s">
        <v>32</v>
      </c>
      <c r="G514" s="21">
        <v>56.0</v>
      </c>
      <c r="H514" s="22">
        <v>60.3</v>
      </c>
    </row>
    <row r="515">
      <c r="A515" s="19">
        <v>514.0</v>
      </c>
      <c r="B515" s="19">
        <v>434.0</v>
      </c>
      <c r="C515" s="19">
        <v>490.0</v>
      </c>
      <c r="D515" s="19" t="s">
        <v>698</v>
      </c>
      <c r="E515" s="19" t="s">
        <v>699</v>
      </c>
      <c r="F515" s="19" t="s">
        <v>40</v>
      </c>
      <c r="G515" s="21">
        <v>66.0</v>
      </c>
      <c r="H515" s="22">
        <v>63.5</v>
      </c>
    </row>
    <row r="516">
      <c r="A516" s="19">
        <v>515.0</v>
      </c>
      <c r="B516" s="19">
        <v>795.0</v>
      </c>
      <c r="C516" s="19">
        <v>482.0</v>
      </c>
      <c r="D516" s="19" t="s">
        <v>700</v>
      </c>
      <c r="E516" s="19" t="s">
        <v>701</v>
      </c>
      <c r="F516" s="19" t="s">
        <v>26</v>
      </c>
      <c r="G516" s="21">
        <v>43.0</v>
      </c>
      <c r="H516" s="22">
        <v>68.9</v>
      </c>
    </row>
    <row r="517">
      <c r="A517" s="19">
        <v>516.0</v>
      </c>
      <c r="B517" s="19">
        <v>629.0</v>
      </c>
      <c r="C517" s="19">
        <v>486.0</v>
      </c>
      <c r="D517" s="19" t="s">
        <v>702</v>
      </c>
      <c r="E517" s="19" t="s">
        <v>62</v>
      </c>
      <c r="F517" s="19" t="s">
        <v>40</v>
      </c>
      <c r="G517" s="21">
        <v>67.0</v>
      </c>
      <c r="H517" s="22">
        <v>76.6</v>
      </c>
    </row>
    <row r="518">
      <c r="A518" s="19">
        <v>517.0</v>
      </c>
      <c r="B518" s="19">
        <v>800.0</v>
      </c>
      <c r="C518" s="19">
        <v>487.0</v>
      </c>
      <c r="D518" s="19" t="s">
        <v>703</v>
      </c>
      <c r="E518" s="19" t="s">
        <v>704</v>
      </c>
      <c r="F518" s="19" t="s">
        <v>234</v>
      </c>
      <c r="G518" s="21">
        <v>12.0</v>
      </c>
      <c r="H518" s="22">
        <v>75.2</v>
      </c>
    </row>
    <row r="519">
      <c r="A519" s="19">
        <v>518.0</v>
      </c>
      <c r="B519" s="19">
        <v>491.0</v>
      </c>
      <c r="C519" s="19">
        <v>489.0</v>
      </c>
      <c r="D519" s="19" t="s">
        <v>705</v>
      </c>
      <c r="E519" s="19" t="s">
        <v>706</v>
      </c>
      <c r="F519" s="19" t="s">
        <v>40</v>
      </c>
      <c r="G519" s="21">
        <v>68.0</v>
      </c>
      <c r="H519" s="22">
        <v>59.8</v>
      </c>
    </row>
    <row r="520">
      <c r="A520" s="19">
        <v>519.0</v>
      </c>
      <c r="B520" s="19">
        <v>475.0</v>
      </c>
      <c r="C520" s="19">
        <v>492.0</v>
      </c>
      <c r="D520" s="19" t="s">
        <v>707</v>
      </c>
      <c r="E520" s="19" t="s">
        <v>708</v>
      </c>
      <c r="F520" s="19" t="s">
        <v>44</v>
      </c>
      <c r="G520" s="21">
        <v>58.0</v>
      </c>
      <c r="H520" s="22">
        <v>60.7</v>
      </c>
    </row>
    <row r="521">
      <c r="A521" s="19">
        <v>520.0</v>
      </c>
      <c r="B521" s="19">
        <v>398.0</v>
      </c>
      <c r="C521" s="19">
        <v>436.0</v>
      </c>
      <c r="D521" s="19" t="s">
        <v>709</v>
      </c>
      <c r="E521" s="19" t="s">
        <v>312</v>
      </c>
      <c r="F521" s="19" t="s">
        <v>44</v>
      </c>
      <c r="G521" s="21">
        <v>59.0</v>
      </c>
      <c r="H521" s="22">
        <v>65.3</v>
      </c>
    </row>
    <row r="522">
      <c r="A522" s="19">
        <v>521.0</v>
      </c>
      <c r="B522" s="19">
        <v>378.0</v>
      </c>
      <c r="C522" s="19">
        <v>719.0</v>
      </c>
      <c r="D522" s="19" t="s">
        <v>710</v>
      </c>
      <c r="E522" s="19" t="s">
        <v>711</v>
      </c>
      <c r="F522" s="19" t="s">
        <v>19</v>
      </c>
      <c r="G522" s="21">
        <v>39.0</v>
      </c>
      <c r="H522" s="22">
        <v>76.6</v>
      </c>
    </row>
    <row r="523">
      <c r="A523" s="19">
        <v>522.0</v>
      </c>
      <c r="B523" s="19">
        <v>801.0</v>
      </c>
      <c r="C523" s="19">
        <v>496.0</v>
      </c>
      <c r="D523" s="19" t="s">
        <v>712</v>
      </c>
      <c r="E523" s="19" t="s">
        <v>80</v>
      </c>
      <c r="F523" s="19" t="s">
        <v>32</v>
      </c>
      <c r="G523" s="21">
        <v>57.0</v>
      </c>
      <c r="H523" s="22">
        <v>67.1</v>
      </c>
    </row>
    <row r="524">
      <c r="A524" s="19">
        <v>523.0</v>
      </c>
      <c r="B524" s="19">
        <v>743.0</v>
      </c>
      <c r="C524" s="19">
        <v>491.0</v>
      </c>
      <c r="D524" s="19" t="s">
        <v>713</v>
      </c>
      <c r="E524" s="19" t="s">
        <v>714</v>
      </c>
      <c r="F524" s="19" t="s">
        <v>38</v>
      </c>
      <c r="G524" s="21">
        <v>36.0</v>
      </c>
      <c r="H524" s="22">
        <v>68.9</v>
      </c>
    </row>
    <row r="525">
      <c r="A525" s="19">
        <v>524.0</v>
      </c>
      <c r="B525" s="19">
        <v>458.0</v>
      </c>
      <c r="C525" s="19">
        <v>497.0</v>
      </c>
      <c r="D525" s="19" t="s">
        <v>715</v>
      </c>
      <c r="E525" s="19" t="s">
        <v>126</v>
      </c>
      <c r="F525" s="19" t="s">
        <v>38</v>
      </c>
      <c r="G525" s="21">
        <v>37.0</v>
      </c>
      <c r="H525" s="22">
        <v>63.4</v>
      </c>
    </row>
    <row r="526">
      <c r="A526" s="19">
        <v>525.0</v>
      </c>
      <c r="B526" s="19">
        <v>388.0</v>
      </c>
      <c r="C526" s="19">
        <v>604.0</v>
      </c>
      <c r="D526" s="19" t="s">
        <v>716</v>
      </c>
      <c r="E526" s="19" t="s">
        <v>57</v>
      </c>
      <c r="F526" s="19" t="s">
        <v>234</v>
      </c>
      <c r="G526" s="21">
        <v>13.0</v>
      </c>
      <c r="H526" s="22">
        <v>65.3</v>
      </c>
    </row>
    <row r="527">
      <c r="A527" s="19">
        <v>526.0</v>
      </c>
      <c r="B527" s="19">
        <v>514.0</v>
      </c>
      <c r="C527" s="19">
        <v>501.0</v>
      </c>
      <c r="D527" s="19" t="s">
        <v>717</v>
      </c>
      <c r="E527" s="19" t="s">
        <v>126</v>
      </c>
      <c r="F527" s="19" t="s">
        <v>26</v>
      </c>
      <c r="G527" s="21">
        <v>44.0</v>
      </c>
      <c r="H527" s="22">
        <v>63.0</v>
      </c>
    </row>
    <row r="528">
      <c r="A528" s="19">
        <v>527.0</v>
      </c>
      <c r="B528" s="19">
        <v>568.0</v>
      </c>
      <c r="C528" s="19">
        <v>502.0</v>
      </c>
      <c r="D528" s="19" t="s">
        <v>718</v>
      </c>
      <c r="E528" s="19" t="s">
        <v>719</v>
      </c>
      <c r="F528" s="19" t="s">
        <v>85</v>
      </c>
      <c r="G528" s="21">
        <v>25.0</v>
      </c>
      <c r="H528" s="22">
        <v>65.3</v>
      </c>
    </row>
    <row r="529">
      <c r="A529" s="19">
        <v>528.0</v>
      </c>
      <c r="B529" s="19">
        <v>461.0</v>
      </c>
      <c r="C529" s="19">
        <v>510.0</v>
      </c>
      <c r="D529" s="19" t="s">
        <v>720</v>
      </c>
      <c r="E529" s="19" t="s">
        <v>340</v>
      </c>
      <c r="F529" s="19" t="s">
        <v>63</v>
      </c>
      <c r="G529" s="21">
        <v>38.0</v>
      </c>
      <c r="H529" s="22">
        <v>60.7</v>
      </c>
    </row>
    <row r="530">
      <c r="A530" s="19">
        <v>529.0</v>
      </c>
      <c r="B530" s="19">
        <v>554.0</v>
      </c>
      <c r="C530" s="19">
        <v>505.0</v>
      </c>
      <c r="D530" s="19" t="s">
        <v>721</v>
      </c>
      <c r="E530" s="19" t="s">
        <v>695</v>
      </c>
      <c r="F530" s="19" t="s">
        <v>40</v>
      </c>
      <c r="G530" s="21">
        <v>69.0</v>
      </c>
      <c r="H530" s="22">
        <v>76.6</v>
      </c>
    </row>
    <row r="531">
      <c r="A531" s="19">
        <v>530.0</v>
      </c>
      <c r="B531" s="19">
        <v>391.0</v>
      </c>
      <c r="C531" s="19">
        <v>615.0</v>
      </c>
      <c r="D531" s="19" t="s">
        <v>722</v>
      </c>
      <c r="E531" s="19" t="s">
        <v>723</v>
      </c>
      <c r="F531" s="19" t="s">
        <v>32</v>
      </c>
      <c r="G531" s="21">
        <v>58.0</v>
      </c>
      <c r="H531" s="22">
        <v>61.6</v>
      </c>
    </row>
    <row r="532">
      <c r="A532" s="19">
        <v>531.0</v>
      </c>
      <c r="B532" s="19">
        <v>515.0</v>
      </c>
      <c r="C532" s="19">
        <v>506.0</v>
      </c>
      <c r="D532" s="19" t="s">
        <v>724</v>
      </c>
      <c r="E532" s="19" t="s">
        <v>212</v>
      </c>
      <c r="F532" s="19" t="s">
        <v>38</v>
      </c>
      <c r="G532" s="21">
        <v>38.0</v>
      </c>
      <c r="H532" s="22">
        <v>76.6</v>
      </c>
    </row>
    <row r="533">
      <c r="A533" s="19">
        <v>532.0</v>
      </c>
      <c r="B533" s="19">
        <v>423.0</v>
      </c>
      <c r="C533" s="19">
        <v>544.0</v>
      </c>
      <c r="D533" s="19" t="s">
        <v>725</v>
      </c>
      <c r="E533" s="19" t="s">
        <v>59</v>
      </c>
      <c r="F533" s="19" t="s">
        <v>63</v>
      </c>
      <c r="G533" s="21">
        <v>39.0</v>
      </c>
      <c r="H533" s="22">
        <v>68.9</v>
      </c>
    </row>
    <row r="534">
      <c r="A534" s="19">
        <v>533.0</v>
      </c>
      <c r="B534" s="19">
        <v>498.0</v>
      </c>
      <c r="C534" s="19">
        <v>507.0</v>
      </c>
      <c r="D534" s="19" t="s">
        <v>726</v>
      </c>
      <c r="E534" s="19" t="s">
        <v>142</v>
      </c>
      <c r="F534" s="19" t="s">
        <v>32</v>
      </c>
      <c r="G534" s="21">
        <v>59.0</v>
      </c>
      <c r="H534" s="22">
        <v>60.3</v>
      </c>
    </row>
    <row r="535">
      <c r="A535" s="19">
        <v>534.0</v>
      </c>
      <c r="B535" s="19">
        <v>404.0</v>
      </c>
      <c r="C535" s="19">
        <v>594.0</v>
      </c>
      <c r="D535" s="19" t="s">
        <v>727</v>
      </c>
      <c r="E535" s="19" t="s">
        <v>53</v>
      </c>
      <c r="F535" s="19" t="s">
        <v>682</v>
      </c>
      <c r="G535" s="21">
        <v>2.0</v>
      </c>
      <c r="H535" s="22">
        <v>70.2</v>
      </c>
    </row>
    <row r="536">
      <c r="A536" s="19">
        <v>535.0</v>
      </c>
      <c r="B536" s="19">
        <v>462.0</v>
      </c>
      <c r="C536" s="19">
        <v>523.0</v>
      </c>
      <c r="D536" s="19" t="s">
        <v>728</v>
      </c>
      <c r="E536" s="19" t="s">
        <v>312</v>
      </c>
      <c r="F536" s="19" t="s">
        <v>38</v>
      </c>
      <c r="G536" s="21">
        <v>39.0</v>
      </c>
      <c r="H536" s="22">
        <v>63.0</v>
      </c>
    </row>
    <row r="537">
      <c r="A537" s="19">
        <v>536.0</v>
      </c>
      <c r="B537" s="19">
        <v>395.0</v>
      </c>
      <c r="C537" s="19">
        <v>788.0</v>
      </c>
      <c r="D537" s="19" t="s">
        <v>729</v>
      </c>
      <c r="E537" s="19" t="s">
        <v>334</v>
      </c>
      <c r="F537" s="19" t="s">
        <v>85</v>
      </c>
      <c r="G537" s="21">
        <v>26.0</v>
      </c>
      <c r="H537" s="22">
        <v>76.5</v>
      </c>
    </row>
    <row r="538">
      <c r="A538" s="19">
        <v>537.0</v>
      </c>
      <c r="B538" s="19">
        <v>836.0</v>
      </c>
      <c r="C538" s="19">
        <v>499.0</v>
      </c>
      <c r="D538" s="19" t="s">
        <v>730</v>
      </c>
      <c r="E538" s="19" t="s">
        <v>182</v>
      </c>
      <c r="F538" s="19" t="s">
        <v>63</v>
      </c>
      <c r="G538" s="21">
        <v>40.0</v>
      </c>
      <c r="H538" s="22">
        <v>76.6</v>
      </c>
    </row>
    <row r="539">
      <c r="A539" s="19">
        <v>538.0</v>
      </c>
      <c r="B539" s="19">
        <v>727.0</v>
      </c>
      <c r="C539" s="19">
        <v>517.0</v>
      </c>
      <c r="D539" s="19" t="s">
        <v>731</v>
      </c>
      <c r="E539" s="19" t="s">
        <v>43</v>
      </c>
      <c r="F539" s="19" t="s">
        <v>85</v>
      </c>
      <c r="G539" s="21">
        <v>27.0</v>
      </c>
      <c r="H539" s="22">
        <v>68.9</v>
      </c>
    </row>
    <row r="540">
      <c r="A540" s="19">
        <v>539.0</v>
      </c>
      <c r="B540" s="19">
        <v>506.0</v>
      </c>
      <c r="C540" s="19">
        <v>452.0</v>
      </c>
      <c r="D540" s="19" t="s">
        <v>732</v>
      </c>
      <c r="E540" s="19" t="s">
        <v>733</v>
      </c>
      <c r="F540" s="19" t="s">
        <v>38</v>
      </c>
      <c r="G540" s="21">
        <v>40.0</v>
      </c>
      <c r="H540" s="22">
        <v>62.1</v>
      </c>
    </row>
    <row r="541">
      <c r="A541" s="19">
        <v>540.0</v>
      </c>
      <c r="B541" s="19">
        <v>416.0</v>
      </c>
      <c r="C541" s="19">
        <v>597.0</v>
      </c>
      <c r="D541" s="19" t="s">
        <v>734</v>
      </c>
      <c r="E541" s="19" t="s">
        <v>270</v>
      </c>
      <c r="F541" s="19" t="s">
        <v>85</v>
      </c>
      <c r="G541" s="21">
        <v>28.0</v>
      </c>
      <c r="H541" s="22">
        <v>65.3</v>
      </c>
    </row>
    <row r="542">
      <c r="A542" s="19">
        <v>541.0</v>
      </c>
      <c r="B542" s="19">
        <v>691.0</v>
      </c>
      <c r="C542" s="19">
        <v>519.0</v>
      </c>
      <c r="D542" s="19" t="s">
        <v>735</v>
      </c>
      <c r="E542" s="19" t="s">
        <v>533</v>
      </c>
      <c r="F542" s="19" t="s">
        <v>85</v>
      </c>
      <c r="G542" s="21">
        <v>29.0</v>
      </c>
      <c r="H542" s="22">
        <v>68.9</v>
      </c>
    </row>
    <row r="543">
      <c r="A543" s="19">
        <v>542.0</v>
      </c>
      <c r="B543" s="19">
        <v>403.0</v>
      </c>
      <c r="C543" s="19">
        <v>570.0</v>
      </c>
      <c r="D543" s="19" t="s">
        <v>736</v>
      </c>
      <c r="E543" s="19" t="s">
        <v>655</v>
      </c>
      <c r="F543" s="19" t="s">
        <v>23</v>
      </c>
      <c r="G543" s="21">
        <v>37.0</v>
      </c>
      <c r="H543" s="22">
        <v>72.0</v>
      </c>
    </row>
    <row r="544">
      <c r="A544" s="19">
        <v>544.0</v>
      </c>
      <c r="B544" s="19">
        <v>405.0</v>
      </c>
      <c r="C544" s="19">
        <v>648.0</v>
      </c>
      <c r="D544" s="19" t="s">
        <v>737</v>
      </c>
      <c r="E544" s="19" t="s">
        <v>43</v>
      </c>
      <c r="F544" s="19" t="s">
        <v>91</v>
      </c>
      <c r="G544" s="21">
        <v>17.0</v>
      </c>
      <c r="H544" s="22">
        <v>72.0</v>
      </c>
    </row>
    <row r="545">
      <c r="A545" s="19">
        <v>543.0</v>
      </c>
      <c r="B545" s="19">
        <v>466.0</v>
      </c>
      <c r="C545" s="19">
        <v>520.0</v>
      </c>
      <c r="D545" s="19" t="s">
        <v>738</v>
      </c>
      <c r="E545" s="19" t="s">
        <v>142</v>
      </c>
      <c r="F545" s="19" t="s">
        <v>85</v>
      </c>
      <c r="G545" s="21">
        <v>30.0</v>
      </c>
      <c r="H545" s="22">
        <v>72.9</v>
      </c>
    </row>
    <row r="546">
      <c r="A546" s="19">
        <v>545.0</v>
      </c>
      <c r="B546" s="19">
        <v>805.0</v>
      </c>
      <c r="C546" s="19">
        <v>521.0</v>
      </c>
      <c r="D546" s="19" t="s">
        <v>739</v>
      </c>
      <c r="E546" s="19" t="s">
        <v>284</v>
      </c>
      <c r="F546" s="19" t="s">
        <v>91</v>
      </c>
      <c r="G546" s="21">
        <v>18.0</v>
      </c>
      <c r="H546" s="22">
        <v>76.5</v>
      </c>
    </row>
    <row r="547">
      <c r="A547" s="19">
        <v>546.0</v>
      </c>
      <c r="B547" s="19">
        <v>723.0</v>
      </c>
      <c r="C547" s="19">
        <v>522.0</v>
      </c>
      <c r="D547" s="19" t="s">
        <v>740</v>
      </c>
      <c r="E547" s="19" t="s">
        <v>344</v>
      </c>
      <c r="F547" s="19" t="s">
        <v>54</v>
      </c>
      <c r="G547" s="21">
        <v>40.0</v>
      </c>
      <c r="H547" s="22">
        <v>68.9</v>
      </c>
    </row>
    <row r="548">
      <c r="A548" s="19">
        <v>547.0</v>
      </c>
      <c r="B548" s="19">
        <v>618.0</v>
      </c>
      <c r="C548" s="19">
        <v>525.0</v>
      </c>
      <c r="D548" s="19" t="s">
        <v>741</v>
      </c>
      <c r="E548" s="19" t="s">
        <v>344</v>
      </c>
      <c r="F548" s="19" t="s">
        <v>26</v>
      </c>
      <c r="G548" s="21">
        <v>45.0</v>
      </c>
      <c r="H548" s="22">
        <v>99.1</v>
      </c>
    </row>
    <row r="549">
      <c r="A549" s="19">
        <v>549.0</v>
      </c>
      <c r="B549" s="19">
        <v>558.0</v>
      </c>
      <c r="C549" s="19">
        <v>528.0</v>
      </c>
      <c r="D549" s="19" t="s">
        <v>742</v>
      </c>
      <c r="E549" s="19" t="s">
        <v>558</v>
      </c>
      <c r="F549" s="19" t="s">
        <v>40</v>
      </c>
      <c r="G549" s="21">
        <v>70.0</v>
      </c>
      <c r="H549" s="22">
        <v>68.9</v>
      </c>
    </row>
    <row r="550">
      <c r="A550" s="19">
        <v>548.0</v>
      </c>
      <c r="B550" s="19">
        <v>547.0</v>
      </c>
      <c r="C550" s="19">
        <v>526.0</v>
      </c>
      <c r="D550" s="19" t="s">
        <v>743</v>
      </c>
      <c r="E550" s="19" t="s">
        <v>706</v>
      </c>
      <c r="F550" s="19" t="s">
        <v>54</v>
      </c>
      <c r="G550" s="21">
        <v>41.0</v>
      </c>
      <c r="H550" s="22">
        <v>76.6</v>
      </c>
    </row>
    <row r="551">
      <c r="A551" s="19">
        <v>550.0</v>
      </c>
      <c r="B551" s="19">
        <v>522.0</v>
      </c>
      <c r="C551" s="19">
        <v>509.0</v>
      </c>
      <c r="D551" s="19" t="s">
        <v>744</v>
      </c>
      <c r="E551" s="19" t="s">
        <v>177</v>
      </c>
      <c r="F551" s="19" t="s">
        <v>40</v>
      </c>
      <c r="G551" s="21">
        <v>71.0</v>
      </c>
      <c r="H551" s="22">
        <v>63.5</v>
      </c>
    </row>
    <row r="552">
      <c r="A552" s="19">
        <v>551.0</v>
      </c>
      <c r="B552" s="19">
        <v>451.0</v>
      </c>
      <c r="C552" s="19">
        <v>533.0</v>
      </c>
      <c r="D552" s="19" t="s">
        <v>745</v>
      </c>
      <c r="E552" s="19" t="s">
        <v>62</v>
      </c>
      <c r="F552" s="19" t="s">
        <v>682</v>
      </c>
      <c r="G552" s="21">
        <v>3.0</v>
      </c>
      <c r="H552" s="22">
        <v>65.3</v>
      </c>
    </row>
    <row r="553">
      <c r="A553" s="19">
        <v>552.0</v>
      </c>
      <c r="B553" s="19">
        <v>510.0</v>
      </c>
      <c r="C553" s="19">
        <v>508.0</v>
      </c>
      <c r="D553" s="19" t="s">
        <v>746</v>
      </c>
      <c r="E553" s="19" t="s">
        <v>166</v>
      </c>
      <c r="F553" s="19" t="s">
        <v>19</v>
      </c>
      <c r="G553" s="21">
        <v>40.0</v>
      </c>
      <c r="H553" s="22">
        <v>60.3</v>
      </c>
    </row>
    <row r="554">
      <c r="A554" s="19">
        <v>553.0</v>
      </c>
      <c r="B554" s="19">
        <v>450.0</v>
      </c>
      <c r="C554" s="19">
        <v>550.0</v>
      </c>
      <c r="D554" s="19" t="s">
        <v>747</v>
      </c>
      <c r="E554" s="19" t="s">
        <v>561</v>
      </c>
      <c r="F554" s="19" t="s">
        <v>44</v>
      </c>
      <c r="G554" s="21">
        <v>60.0</v>
      </c>
      <c r="H554" s="22">
        <v>72.0</v>
      </c>
    </row>
    <row r="555">
      <c r="A555" s="19">
        <v>554.0</v>
      </c>
      <c r="B555" s="19">
        <v>596.0</v>
      </c>
      <c r="C555" s="19">
        <v>531.0</v>
      </c>
      <c r="D555" s="19" t="s">
        <v>748</v>
      </c>
      <c r="E555" s="19" t="s">
        <v>413</v>
      </c>
      <c r="F555" s="19" t="s">
        <v>23</v>
      </c>
      <c r="G555" s="21">
        <v>38.0</v>
      </c>
      <c r="H555" s="22">
        <v>68.9</v>
      </c>
    </row>
    <row r="556">
      <c r="A556" s="19">
        <v>555.0</v>
      </c>
      <c r="B556" s="19">
        <v>490.0</v>
      </c>
      <c r="C556" s="19">
        <v>483.0</v>
      </c>
      <c r="D556" s="19" t="s">
        <v>749</v>
      </c>
      <c r="E556" s="19" t="s">
        <v>750</v>
      </c>
      <c r="F556" s="19" t="s">
        <v>38</v>
      </c>
      <c r="G556" s="21">
        <v>41.0</v>
      </c>
      <c r="H556" s="22">
        <v>60.7</v>
      </c>
    </row>
    <row r="557">
      <c r="A557" s="19">
        <v>556.0</v>
      </c>
      <c r="B557" s="19">
        <v>690.0</v>
      </c>
      <c r="C557" s="19">
        <v>534.0</v>
      </c>
      <c r="D557" s="19" t="s">
        <v>751</v>
      </c>
      <c r="E557" s="19" t="s">
        <v>250</v>
      </c>
      <c r="F557" s="19" t="s">
        <v>23</v>
      </c>
      <c r="G557" s="21">
        <v>39.0</v>
      </c>
      <c r="H557" s="22">
        <v>68.9</v>
      </c>
    </row>
    <row r="558">
      <c r="A558" s="19">
        <v>557.0</v>
      </c>
      <c r="B558" s="19">
        <v>597.0</v>
      </c>
      <c r="C558" s="19">
        <v>535.0</v>
      </c>
      <c r="D558" s="19" t="s">
        <v>752</v>
      </c>
      <c r="E558" s="19" t="s">
        <v>50</v>
      </c>
      <c r="F558" s="19" t="s">
        <v>44</v>
      </c>
      <c r="G558" s="21">
        <v>61.0</v>
      </c>
      <c r="H558" s="22">
        <v>66.2</v>
      </c>
    </row>
    <row r="559">
      <c r="A559" s="19">
        <v>558.0</v>
      </c>
      <c r="B559" s="19">
        <v>614.0</v>
      </c>
      <c r="C559" s="19">
        <v>538.0</v>
      </c>
      <c r="D559" s="19" t="s">
        <v>753</v>
      </c>
      <c r="E559" s="19" t="s">
        <v>166</v>
      </c>
      <c r="F559" s="19" t="s">
        <v>40</v>
      </c>
      <c r="G559" s="21">
        <v>72.0</v>
      </c>
      <c r="H559" s="22">
        <v>65.3</v>
      </c>
    </row>
    <row r="560">
      <c r="A560" s="19">
        <v>559.0</v>
      </c>
      <c r="B560" s="19">
        <v>667.0</v>
      </c>
      <c r="C560" s="19">
        <v>537.0</v>
      </c>
      <c r="D560" s="19" t="s">
        <v>754</v>
      </c>
      <c r="E560" s="19" t="s">
        <v>755</v>
      </c>
      <c r="F560" s="19" t="s">
        <v>26</v>
      </c>
      <c r="G560" s="21">
        <v>46.0</v>
      </c>
      <c r="H560" s="22">
        <v>65.3</v>
      </c>
    </row>
    <row r="561">
      <c r="A561" s="19">
        <v>560.0</v>
      </c>
      <c r="B561" s="19">
        <v>477.0</v>
      </c>
      <c r="C561" s="19">
        <v>542.0</v>
      </c>
      <c r="D561" s="19" t="s">
        <v>756</v>
      </c>
      <c r="E561" s="19" t="s">
        <v>334</v>
      </c>
      <c r="F561" s="19" t="s">
        <v>32</v>
      </c>
      <c r="G561" s="21">
        <v>60.0</v>
      </c>
      <c r="H561" s="22">
        <v>63.9</v>
      </c>
    </row>
    <row r="562">
      <c r="A562" s="19">
        <v>561.0</v>
      </c>
      <c r="B562" s="19">
        <v>703.0</v>
      </c>
      <c r="C562" s="19">
        <v>513.0</v>
      </c>
      <c r="D562" s="19" t="s">
        <v>757</v>
      </c>
      <c r="E562" s="19" t="s">
        <v>299</v>
      </c>
      <c r="F562" s="19" t="s">
        <v>170</v>
      </c>
      <c r="G562" s="21">
        <v>23.0</v>
      </c>
      <c r="H562" s="22">
        <v>71.1</v>
      </c>
    </row>
    <row r="563">
      <c r="A563" s="19">
        <v>562.0</v>
      </c>
      <c r="B563" s="19">
        <v>381.0</v>
      </c>
      <c r="C563" s="19">
        <v>633.0</v>
      </c>
      <c r="D563" s="19" t="s">
        <v>758</v>
      </c>
      <c r="E563" s="19" t="s">
        <v>243</v>
      </c>
      <c r="F563" s="19" t="s">
        <v>170</v>
      </c>
      <c r="G563" s="21">
        <v>24.0</v>
      </c>
      <c r="H563" s="22">
        <v>64.8</v>
      </c>
    </row>
    <row r="564">
      <c r="A564" s="19">
        <v>563.0</v>
      </c>
      <c r="B564" s="19">
        <v>572.0</v>
      </c>
      <c r="C564" s="19">
        <v>573.0</v>
      </c>
      <c r="D564" s="19" t="s">
        <v>759</v>
      </c>
      <c r="E564" s="19" t="s">
        <v>760</v>
      </c>
      <c r="F564" s="19" t="s">
        <v>38</v>
      </c>
      <c r="G564" s="21">
        <v>42.0</v>
      </c>
      <c r="H564" s="22">
        <v>66.1</v>
      </c>
    </row>
    <row r="565">
      <c r="A565" s="19">
        <v>564.0</v>
      </c>
      <c r="B565" s="19">
        <v>599.0</v>
      </c>
      <c r="C565" s="19">
        <v>578.0</v>
      </c>
      <c r="D565" s="19" t="s">
        <v>761</v>
      </c>
      <c r="E565" s="19" t="s">
        <v>153</v>
      </c>
      <c r="F565" s="19" t="s">
        <v>32</v>
      </c>
      <c r="G565" s="21">
        <v>61.0</v>
      </c>
      <c r="H565" s="22">
        <v>70.2</v>
      </c>
    </row>
    <row r="566">
      <c r="A566" s="19">
        <v>565.0</v>
      </c>
      <c r="B566" s="19">
        <v>532.0</v>
      </c>
      <c r="C566" s="19">
        <v>545.0</v>
      </c>
      <c r="D566" s="19" t="s">
        <v>762</v>
      </c>
      <c r="E566" s="19" t="s">
        <v>146</v>
      </c>
      <c r="F566" s="19" t="s">
        <v>44</v>
      </c>
      <c r="G566" s="21">
        <v>62.0</v>
      </c>
      <c r="H566" s="22">
        <v>65.3</v>
      </c>
    </row>
    <row r="567">
      <c r="A567" s="19">
        <v>566.0</v>
      </c>
      <c r="B567" s="19">
        <v>427.0</v>
      </c>
      <c r="C567" s="19">
        <v>618.0</v>
      </c>
      <c r="D567" s="19" t="s">
        <v>763</v>
      </c>
      <c r="E567" s="19" t="s">
        <v>112</v>
      </c>
      <c r="F567" s="19" t="s">
        <v>19</v>
      </c>
      <c r="G567" s="21">
        <v>41.0</v>
      </c>
      <c r="H567" s="22">
        <v>67.1</v>
      </c>
    </row>
    <row r="568">
      <c r="A568" s="19">
        <v>567.0</v>
      </c>
      <c r="B568" s="19">
        <v>623.0</v>
      </c>
      <c r="C568" s="19">
        <v>547.0</v>
      </c>
      <c r="D568" s="19" t="s">
        <v>764</v>
      </c>
      <c r="E568" s="19" t="s">
        <v>200</v>
      </c>
      <c r="F568" s="19" t="s">
        <v>26</v>
      </c>
      <c r="G568" s="21">
        <v>47.0</v>
      </c>
      <c r="H568" s="22">
        <v>76.6</v>
      </c>
    </row>
    <row r="569">
      <c r="A569" s="19">
        <v>568.0</v>
      </c>
      <c r="B569" s="19">
        <v>410.0</v>
      </c>
      <c r="C569" s="19">
        <v>549.0</v>
      </c>
      <c r="D569" s="19" t="s">
        <v>765</v>
      </c>
      <c r="E569" s="19" t="s">
        <v>334</v>
      </c>
      <c r="F569" s="19" t="s">
        <v>26</v>
      </c>
      <c r="G569" s="21">
        <v>48.0</v>
      </c>
      <c r="H569" s="22">
        <v>73.8</v>
      </c>
    </row>
    <row r="570">
      <c r="A570" s="19">
        <v>569.0</v>
      </c>
      <c r="B570" s="19">
        <v>513.0</v>
      </c>
      <c r="C570" s="19">
        <v>551.0</v>
      </c>
      <c r="D570" s="19" t="s">
        <v>766</v>
      </c>
      <c r="E570" s="19" t="s">
        <v>153</v>
      </c>
      <c r="F570" s="19" t="s">
        <v>442</v>
      </c>
      <c r="G570" s="21">
        <v>2.0</v>
      </c>
      <c r="H570" s="22">
        <v>63.0</v>
      </c>
    </row>
    <row r="571">
      <c r="A571" s="19">
        <v>570.0</v>
      </c>
      <c r="B571" s="19">
        <v>695.0</v>
      </c>
      <c r="C571" s="19">
        <v>589.0</v>
      </c>
      <c r="D571" s="19" t="s">
        <v>767</v>
      </c>
      <c r="E571" s="19" t="s">
        <v>204</v>
      </c>
      <c r="F571" s="19" t="s">
        <v>63</v>
      </c>
      <c r="G571" s="21">
        <v>41.0</v>
      </c>
      <c r="H571" s="22">
        <v>68.9</v>
      </c>
    </row>
    <row r="572">
      <c r="A572" s="19">
        <v>571.0</v>
      </c>
      <c r="B572" s="19">
        <v>431.0</v>
      </c>
      <c r="C572" s="19">
        <v>552.0</v>
      </c>
      <c r="D572" s="19" t="s">
        <v>768</v>
      </c>
      <c r="E572" s="19" t="s">
        <v>631</v>
      </c>
      <c r="F572" s="19" t="s">
        <v>54</v>
      </c>
      <c r="G572" s="21">
        <v>42.0</v>
      </c>
      <c r="H572" s="22">
        <v>76.5</v>
      </c>
    </row>
    <row r="573">
      <c r="A573" s="19">
        <v>572.0</v>
      </c>
      <c r="B573" s="19">
        <v>425.0</v>
      </c>
      <c r="C573" s="19">
        <v>710.0</v>
      </c>
      <c r="D573" s="19" t="s">
        <v>769</v>
      </c>
      <c r="E573" s="19" t="s">
        <v>133</v>
      </c>
      <c r="F573" s="19" t="s">
        <v>85</v>
      </c>
      <c r="G573" s="21">
        <v>31.0</v>
      </c>
      <c r="H573" s="22">
        <v>68.9</v>
      </c>
    </row>
    <row r="574">
      <c r="A574" s="19">
        <v>573.0</v>
      </c>
      <c r="B574" s="19">
        <v>400.0</v>
      </c>
      <c r="C574" s="19">
        <v>685.0</v>
      </c>
      <c r="D574" s="19" t="s">
        <v>770</v>
      </c>
      <c r="E574" s="19" t="s">
        <v>59</v>
      </c>
      <c r="F574" s="19" t="s">
        <v>26</v>
      </c>
      <c r="G574" s="21">
        <v>49.0</v>
      </c>
      <c r="H574" s="22">
        <v>67.5</v>
      </c>
    </row>
    <row r="575">
      <c r="A575" s="19">
        <v>574.0</v>
      </c>
      <c r="B575" s="19">
        <v>819.0</v>
      </c>
      <c r="C575" s="19">
        <v>470.0</v>
      </c>
      <c r="D575" s="19" t="s">
        <v>771</v>
      </c>
      <c r="E575" s="19" t="s">
        <v>701</v>
      </c>
      <c r="F575" s="19" t="s">
        <v>40</v>
      </c>
      <c r="G575" s="21">
        <v>73.0</v>
      </c>
      <c r="H575" s="22">
        <v>67.1</v>
      </c>
    </row>
    <row r="576">
      <c r="A576" s="19">
        <v>575.0</v>
      </c>
      <c r="B576" s="19">
        <v>456.0</v>
      </c>
      <c r="C576" s="19">
        <v>587.0</v>
      </c>
      <c r="D576" s="19" t="s">
        <v>772</v>
      </c>
      <c r="E576" s="19" t="s">
        <v>773</v>
      </c>
      <c r="F576" s="19" t="s">
        <v>44</v>
      </c>
      <c r="G576" s="21">
        <v>63.0</v>
      </c>
      <c r="H576" s="22">
        <v>61.6</v>
      </c>
    </row>
    <row r="577">
      <c r="A577" s="19">
        <v>576.0</v>
      </c>
      <c r="B577" s="19">
        <v>612.0</v>
      </c>
      <c r="C577" s="19">
        <v>559.0</v>
      </c>
      <c r="D577" s="19" t="s">
        <v>774</v>
      </c>
      <c r="E577" s="19" t="s">
        <v>533</v>
      </c>
      <c r="F577" s="19" t="s">
        <v>26</v>
      </c>
      <c r="G577" s="21">
        <v>50.0</v>
      </c>
      <c r="H577" s="22">
        <v>63.9</v>
      </c>
    </row>
    <row r="578">
      <c r="A578" s="19">
        <v>577.0</v>
      </c>
      <c r="B578" s="19">
        <v>486.0</v>
      </c>
      <c r="C578" s="19">
        <v>560.0</v>
      </c>
      <c r="D578" s="19" t="s">
        <v>775</v>
      </c>
      <c r="E578" s="19" t="s">
        <v>776</v>
      </c>
      <c r="F578" s="19" t="s">
        <v>449</v>
      </c>
      <c r="G578" s="21">
        <v>5.0</v>
      </c>
      <c r="H578" s="22">
        <v>60.7</v>
      </c>
    </row>
    <row r="579">
      <c r="A579" s="19">
        <v>578.0</v>
      </c>
      <c r="B579" s="19">
        <v>627.0</v>
      </c>
      <c r="C579" s="19">
        <v>557.0</v>
      </c>
      <c r="D579" s="19" t="s">
        <v>777</v>
      </c>
      <c r="E579" s="19" t="s">
        <v>119</v>
      </c>
      <c r="F579" s="19" t="s">
        <v>85</v>
      </c>
      <c r="G579" s="21">
        <v>32.0</v>
      </c>
      <c r="H579" s="22">
        <v>76.5</v>
      </c>
    </row>
    <row r="580">
      <c r="A580" s="19">
        <v>579.0</v>
      </c>
      <c r="B580" s="19">
        <v>611.0</v>
      </c>
      <c r="C580" s="19">
        <v>558.0</v>
      </c>
      <c r="D580" s="19" t="s">
        <v>778</v>
      </c>
      <c r="E580" s="19" t="s">
        <v>259</v>
      </c>
      <c r="F580" s="19" t="s">
        <v>63</v>
      </c>
      <c r="G580" s="21">
        <v>42.0</v>
      </c>
      <c r="H580" s="22">
        <v>76.5</v>
      </c>
    </row>
    <row r="581">
      <c r="A581" s="19">
        <v>580.0</v>
      </c>
      <c r="B581" s="19">
        <v>430.0</v>
      </c>
      <c r="C581" s="19">
        <v>808.0</v>
      </c>
      <c r="D581" s="19" t="s">
        <v>779</v>
      </c>
      <c r="E581" s="19" t="s">
        <v>177</v>
      </c>
      <c r="F581" s="19" t="s">
        <v>54</v>
      </c>
      <c r="G581" s="21">
        <v>43.0</v>
      </c>
      <c r="H581" s="22">
        <v>71.1</v>
      </c>
    </row>
    <row r="582">
      <c r="A582" s="19">
        <v>581.0</v>
      </c>
      <c r="B582" s="19">
        <v>444.0</v>
      </c>
      <c r="C582" s="19">
        <v>606.0</v>
      </c>
      <c r="D582" s="19" t="s">
        <v>780</v>
      </c>
      <c r="E582" s="19" t="s">
        <v>781</v>
      </c>
      <c r="F582" s="19" t="s">
        <v>44</v>
      </c>
      <c r="G582" s="21">
        <v>64.0</v>
      </c>
      <c r="H582" s="22">
        <v>76.5</v>
      </c>
    </row>
    <row r="583">
      <c r="A583" s="19">
        <v>582.0</v>
      </c>
      <c r="B583" s="19">
        <v>624.0</v>
      </c>
      <c r="C583" s="19">
        <v>564.0</v>
      </c>
      <c r="D583" s="19" t="s">
        <v>782</v>
      </c>
      <c r="E583" s="19" t="s">
        <v>250</v>
      </c>
      <c r="F583" s="19" t="s">
        <v>19</v>
      </c>
      <c r="G583" s="21">
        <v>42.0</v>
      </c>
      <c r="H583" s="22">
        <v>99.1</v>
      </c>
    </row>
    <row r="584">
      <c r="A584" s="19">
        <v>583.0</v>
      </c>
      <c r="B584" s="19">
        <v>822.0</v>
      </c>
      <c r="C584" s="19">
        <v>562.0</v>
      </c>
      <c r="D584" s="19" t="s">
        <v>783</v>
      </c>
      <c r="E584" s="19" t="s">
        <v>784</v>
      </c>
      <c r="F584" s="19" t="s">
        <v>23</v>
      </c>
      <c r="G584" s="21">
        <v>40.0</v>
      </c>
      <c r="H584" s="22">
        <v>99.1</v>
      </c>
    </row>
    <row r="585">
      <c r="A585" s="19">
        <v>584.0</v>
      </c>
      <c r="B585" s="19">
        <v>570.0</v>
      </c>
      <c r="C585" s="19">
        <v>566.0</v>
      </c>
      <c r="D585" s="19" t="s">
        <v>785</v>
      </c>
      <c r="E585" s="19" t="s">
        <v>575</v>
      </c>
      <c r="F585" s="19" t="s">
        <v>170</v>
      </c>
      <c r="G585" s="21">
        <v>25.0</v>
      </c>
      <c r="H585" s="22">
        <v>73.8</v>
      </c>
    </row>
    <row r="586">
      <c r="A586" s="19">
        <v>585.0</v>
      </c>
      <c r="B586" s="19">
        <v>438.0</v>
      </c>
      <c r="C586" s="19">
        <v>641.0</v>
      </c>
      <c r="D586" s="19" t="s">
        <v>786</v>
      </c>
      <c r="E586" s="19" t="s">
        <v>344</v>
      </c>
      <c r="F586" s="19" t="s">
        <v>54</v>
      </c>
      <c r="G586" s="21">
        <v>44.0</v>
      </c>
      <c r="H586" s="22">
        <v>68.9</v>
      </c>
    </row>
    <row r="587">
      <c r="A587" s="19">
        <v>586.0</v>
      </c>
      <c r="B587" s="19">
        <v>644.0</v>
      </c>
      <c r="C587" s="19">
        <v>569.0</v>
      </c>
      <c r="D587" s="19" t="s">
        <v>787</v>
      </c>
      <c r="E587" s="19" t="s">
        <v>112</v>
      </c>
      <c r="F587" s="19" t="s">
        <v>26</v>
      </c>
      <c r="G587" s="21">
        <v>51.0</v>
      </c>
      <c r="H587" s="22">
        <v>76.5</v>
      </c>
    </row>
    <row r="588">
      <c r="A588" s="19">
        <v>587.0</v>
      </c>
      <c r="B588" s="19">
        <v>609.0</v>
      </c>
      <c r="C588" s="19">
        <v>571.0</v>
      </c>
      <c r="D588" s="19" t="s">
        <v>788</v>
      </c>
      <c r="E588" s="19" t="s">
        <v>53</v>
      </c>
      <c r="F588" s="19" t="s">
        <v>19</v>
      </c>
      <c r="G588" s="21">
        <v>43.0</v>
      </c>
      <c r="H588" s="22">
        <v>79.7</v>
      </c>
    </row>
    <row r="589">
      <c r="A589" s="19">
        <v>588.0</v>
      </c>
      <c r="B589" s="19">
        <v>631.0</v>
      </c>
      <c r="C589" s="19">
        <v>572.0</v>
      </c>
      <c r="D589" s="19" t="s">
        <v>789</v>
      </c>
      <c r="E589" s="19" t="s">
        <v>212</v>
      </c>
      <c r="F589" s="19" t="s">
        <v>40</v>
      </c>
      <c r="G589" s="21">
        <v>74.0</v>
      </c>
      <c r="H589" s="22">
        <v>99.1</v>
      </c>
    </row>
    <row r="590">
      <c r="A590" s="19">
        <v>589.0</v>
      </c>
      <c r="B590" s="19">
        <v>455.0</v>
      </c>
      <c r="C590" s="19">
        <v>411.0</v>
      </c>
      <c r="D590" s="19" t="s">
        <v>790</v>
      </c>
      <c r="E590" s="19" t="s">
        <v>459</v>
      </c>
      <c r="F590" s="19" t="s">
        <v>40</v>
      </c>
      <c r="G590" s="21">
        <v>75.0</v>
      </c>
      <c r="H590" s="22">
        <v>60.7</v>
      </c>
    </row>
    <row r="591">
      <c r="A591" s="19">
        <v>590.0</v>
      </c>
      <c r="B591" s="19">
        <v>569.0</v>
      </c>
      <c r="C591" s="19">
        <v>576.0</v>
      </c>
      <c r="D591" s="19" t="s">
        <v>791</v>
      </c>
      <c r="E591" s="19" t="s">
        <v>792</v>
      </c>
      <c r="F591" s="19" t="s">
        <v>26</v>
      </c>
      <c r="G591" s="21">
        <v>52.0</v>
      </c>
      <c r="H591" s="22">
        <v>70.2</v>
      </c>
    </row>
    <row r="592">
      <c r="A592" s="19">
        <v>591.0</v>
      </c>
      <c r="B592" s="19">
        <v>546.0</v>
      </c>
      <c r="C592" s="19">
        <v>577.0</v>
      </c>
      <c r="D592" s="19" t="s">
        <v>793</v>
      </c>
      <c r="E592" s="19" t="s">
        <v>177</v>
      </c>
      <c r="F592" s="19" t="s">
        <v>26</v>
      </c>
      <c r="G592" s="21">
        <v>53.0</v>
      </c>
      <c r="H592" s="22">
        <v>67.1</v>
      </c>
    </row>
    <row r="593">
      <c r="A593" s="19">
        <v>592.0</v>
      </c>
      <c r="B593" s="19">
        <v>553.0</v>
      </c>
      <c r="C593" s="19">
        <v>581.0</v>
      </c>
      <c r="D593" s="19" t="s">
        <v>794</v>
      </c>
      <c r="E593" s="19" t="s">
        <v>537</v>
      </c>
      <c r="F593" s="19" t="s">
        <v>19</v>
      </c>
      <c r="G593" s="21">
        <v>44.0</v>
      </c>
      <c r="H593" s="22">
        <v>60.3</v>
      </c>
    </row>
    <row r="594">
      <c r="A594" s="19">
        <v>593.0</v>
      </c>
      <c r="B594" s="19">
        <v>541.0</v>
      </c>
      <c r="C594" s="19">
        <v>579.0</v>
      </c>
      <c r="D594" s="19" t="s">
        <v>795</v>
      </c>
      <c r="E594" s="19" t="s">
        <v>59</v>
      </c>
      <c r="F594" s="19" t="s">
        <v>19</v>
      </c>
      <c r="G594" s="21">
        <v>45.0</v>
      </c>
      <c r="H594" s="22">
        <v>76.5</v>
      </c>
    </row>
    <row r="595">
      <c r="A595" s="19">
        <v>594.0</v>
      </c>
      <c r="B595" s="19">
        <v>604.0</v>
      </c>
      <c r="C595" s="19">
        <v>583.0</v>
      </c>
      <c r="D595" s="19" t="s">
        <v>796</v>
      </c>
      <c r="E595" s="19" t="s">
        <v>47</v>
      </c>
      <c r="F595" s="19" t="s">
        <v>54</v>
      </c>
      <c r="G595" s="21">
        <v>45.0</v>
      </c>
      <c r="H595" s="22">
        <v>90.1</v>
      </c>
    </row>
    <row r="596">
      <c r="A596" s="19">
        <v>595.0</v>
      </c>
      <c r="B596" s="19">
        <v>526.0</v>
      </c>
      <c r="C596" s="19">
        <v>548.0</v>
      </c>
      <c r="D596" s="19" t="s">
        <v>797</v>
      </c>
      <c r="E596" s="19" t="s">
        <v>53</v>
      </c>
      <c r="F596" s="19" t="s">
        <v>40</v>
      </c>
      <c r="G596" s="21">
        <v>76.0</v>
      </c>
      <c r="H596" s="22">
        <v>63.0</v>
      </c>
    </row>
    <row r="597">
      <c r="A597" s="19">
        <v>596.0</v>
      </c>
      <c r="B597" s="19">
        <v>442.0</v>
      </c>
      <c r="C597" s="19">
        <v>805.0</v>
      </c>
      <c r="D597" s="19" t="s">
        <v>798</v>
      </c>
      <c r="E597" s="19" t="s">
        <v>344</v>
      </c>
      <c r="F597" s="19" t="s">
        <v>54</v>
      </c>
      <c r="G597" s="21">
        <v>46.0</v>
      </c>
      <c r="H597" s="22">
        <v>76.5</v>
      </c>
    </row>
    <row r="598">
      <c r="A598" s="19">
        <v>597.0</v>
      </c>
      <c r="B598" s="19">
        <v>443.0</v>
      </c>
      <c r="C598" s="19">
        <v>451.0</v>
      </c>
      <c r="D598" s="19" t="s">
        <v>799</v>
      </c>
      <c r="E598" s="19" t="s">
        <v>533</v>
      </c>
      <c r="F598" s="19" t="s">
        <v>26</v>
      </c>
      <c r="G598" s="21">
        <v>54.0</v>
      </c>
      <c r="H598" s="22">
        <v>76.6</v>
      </c>
    </row>
    <row r="599">
      <c r="A599" s="19">
        <v>598.0</v>
      </c>
      <c r="B599" s="19">
        <v>719.0</v>
      </c>
      <c r="C599" s="19">
        <v>585.0</v>
      </c>
      <c r="D599" s="19" t="s">
        <v>800</v>
      </c>
      <c r="E599" s="19" t="s">
        <v>663</v>
      </c>
      <c r="F599" s="19" t="s">
        <v>15</v>
      </c>
      <c r="G599" s="21">
        <v>25.0</v>
      </c>
      <c r="H599" s="22">
        <v>63.0</v>
      </c>
    </row>
    <row r="600">
      <c r="A600" s="19">
        <v>599.0</v>
      </c>
      <c r="B600" s="19">
        <v>527.0</v>
      </c>
      <c r="C600" s="19">
        <v>590.0</v>
      </c>
      <c r="D600" s="19" t="s">
        <v>801</v>
      </c>
      <c r="E600" s="19" t="s">
        <v>802</v>
      </c>
      <c r="F600" s="19" t="s">
        <v>38</v>
      </c>
      <c r="G600" s="21">
        <v>43.0</v>
      </c>
      <c r="H600" s="22">
        <v>61.6</v>
      </c>
    </row>
    <row r="601">
      <c r="A601" s="19">
        <v>600.0</v>
      </c>
      <c r="B601" s="19">
        <v>656.0</v>
      </c>
      <c r="C601" s="19">
        <v>588.0</v>
      </c>
      <c r="D601" s="19" t="s">
        <v>803</v>
      </c>
      <c r="E601" s="19" t="s">
        <v>212</v>
      </c>
      <c r="F601" s="19" t="s">
        <v>19</v>
      </c>
      <c r="G601" s="21">
        <v>46.0</v>
      </c>
      <c r="H601" s="22">
        <v>99.1</v>
      </c>
    </row>
    <row r="602">
      <c r="A602" s="19">
        <v>601.0</v>
      </c>
      <c r="B602" s="19">
        <v>446.0</v>
      </c>
      <c r="C602" s="19">
        <v>642.0</v>
      </c>
      <c r="D602" s="19" t="s">
        <v>804</v>
      </c>
      <c r="E602" s="19" t="s">
        <v>321</v>
      </c>
      <c r="F602" s="19" t="s">
        <v>23</v>
      </c>
      <c r="G602" s="21">
        <v>41.0</v>
      </c>
      <c r="H602" s="22">
        <v>68.9</v>
      </c>
    </row>
    <row r="603">
      <c r="A603" s="19">
        <v>602.0</v>
      </c>
      <c r="B603" s="19">
        <v>573.0</v>
      </c>
      <c r="C603" s="19">
        <v>593.0</v>
      </c>
      <c r="D603" s="19" t="s">
        <v>805</v>
      </c>
      <c r="E603" s="19" t="s">
        <v>204</v>
      </c>
      <c r="F603" s="19" t="s">
        <v>54</v>
      </c>
      <c r="G603" s="21">
        <v>47.0</v>
      </c>
      <c r="H603" s="22">
        <v>76.5</v>
      </c>
    </row>
    <row r="604">
      <c r="A604" s="19">
        <v>603.0</v>
      </c>
      <c r="B604" s="19">
        <v>744.0</v>
      </c>
      <c r="C604" s="19">
        <v>592.0</v>
      </c>
      <c r="D604" s="19" t="s">
        <v>806</v>
      </c>
      <c r="E604" s="19" t="s">
        <v>807</v>
      </c>
      <c r="F604" s="19" t="s">
        <v>44</v>
      </c>
      <c r="G604" s="21">
        <v>65.0</v>
      </c>
      <c r="H604" s="22">
        <v>76.6</v>
      </c>
    </row>
    <row r="605">
      <c r="A605" s="19">
        <v>604.0</v>
      </c>
      <c r="B605" s="19">
        <v>595.0</v>
      </c>
      <c r="C605" s="19">
        <v>654.0</v>
      </c>
      <c r="D605" s="19" t="s">
        <v>808</v>
      </c>
      <c r="E605" s="19" t="s">
        <v>80</v>
      </c>
      <c r="F605" s="19" t="s">
        <v>63</v>
      </c>
      <c r="G605" s="21">
        <v>43.0</v>
      </c>
      <c r="H605" s="22">
        <v>68.9</v>
      </c>
    </row>
    <row r="606">
      <c r="A606" s="19">
        <v>605.0</v>
      </c>
      <c r="B606" s="19">
        <v>556.0</v>
      </c>
      <c r="C606" s="19">
        <v>532.0</v>
      </c>
      <c r="D606" s="19" t="s">
        <v>809</v>
      </c>
      <c r="E606" s="19" t="s">
        <v>80</v>
      </c>
      <c r="F606" s="19" t="s">
        <v>23</v>
      </c>
      <c r="G606" s="21">
        <v>42.0</v>
      </c>
      <c r="H606" s="22">
        <v>68.9</v>
      </c>
    </row>
    <row r="607">
      <c r="A607" s="19">
        <v>606.0</v>
      </c>
      <c r="B607" s="19">
        <v>518.0</v>
      </c>
      <c r="C607" s="19">
        <v>717.0</v>
      </c>
      <c r="D607" s="19" t="s">
        <v>810</v>
      </c>
      <c r="E607" s="19" t="s">
        <v>126</v>
      </c>
      <c r="F607" s="19" t="s">
        <v>23</v>
      </c>
      <c r="G607" s="21">
        <v>43.0</v>
      </c>
      <c r="H607" s="22">
        <v>68.8</v>
      </c>
    </row>
    <row r="608">
      <c r="A608" s="19">
        <v>607.0</v>
      </c>
      <c r="B608" s="19">
        <v>548.0</v>
      </c>
      <c r="C608" s="19">
        <v>688.0</v>
      </c>
      <c r="D608" s="19" t="s">
        <v>811</v>
      </c>
      <c r="E608" s="19" t="s">
        <v>144</v>
      </c>
      <c r="F608" s="19" t="s">
        <v>40</v>
      </c>
      <c r="G608" s="21">
        <v>77.0</v>
      </c>
      <c r="H608" s="22">
        <v>76.5</v>
      </c>
    </row>
    <row r="609">
      <c r="A609" s="19">
        <v>608.0</v>
      </c>
      <c r="B609" s="19">
        <v>651.0</v>
      </c>
      <c r="C609" s="19">
        <v>699.0</v>
      </c>
      <c r="D609" s="19" t="s">
        <v>812</v>
      </c>
      <c r="E609" s="19" t="s">
        <v>813</v>
      </c>
      <c r="F609" s="19" t="s">
        <v>26</v>
      </c>
      <c r="G609" s="21">
        <v>55.0</v>
      </c>
      <c r="H609" s="22">
        <v>68.9</v>
      </c>
    </row>
    <row r="610">
      <c r="A610" s="19">
        <v>609.0</v>
      </c>
      <c r="B610" s="19">
        <v>837.0</v>
      </c>
      <c r="C610" s="19">
        <v>546.0</v>
      </c>
      <c r="D610" s="19" t="s">
        <v>814</v>
      </c>
      <c r="E610" s="19" t="s">
        <v>245</v>
      </c>
      <c r="F610" s="19" t="s">
        <v>38</v>
      </c>
      <c r="G610" s="21">
        <v>44.0</v>
      </c>
      <c r="H610" s="22">
        <v>76.6</v>
      </c>
    </row>
    <row r="611">
      <c r="A611" s="19">
        <v>610.0</v>
      </c>
      <c r="B611" s="19">
        <v>785.0</v>
      </c>
      <c r="C611" s="19">
        <v>596.0</v>
      </c>
      <c r="D611" s="19" t="s">
        <v>815</v>
      </c>
      <c r="E611" s="19" t="s">
        <v>816</v>
      </c>
      <c r="F611" s="19" t="s">
        <v>26</v>
      </c>
      <c r="G611" s="21">
        <v>56.0</v>
      </c>
      <c r="H611" s="22">
        <v>99.1</v>
      </c>
    </row>
    <row r="612">
      <c r="A612" s="19">
        <v>611.0</v>
      </c>
      <c r="B612" s="19">
        <v>524.0</v>
      </c>
      <c r="C612" s="19">
        <v>598.0</v>
      </c>
      <c r="D612" s="19" t="s">
        <v>817</v>
      </c>
      <c r="E612" s="19" t="s">
        <v>818</v>
      </c>
      <c r="F612" s="19" t="s">
        <v>44</v>
      </c>
      <c r="G612" s="21">
        <v>66.0</v>
      </c>
      <c r="H612" s="22">
        <v>65.3</v>
      </c>
    </row>
    <row r="613">
      <c r="A613" s="19">
        <v>612.0</v>
      </c>
      <c r="B613" s="19">
        <v>588.0</v>
      </c>
      <c r="C613" s="19">
        <v>599.0</v>
      </c>
      <c r="D613" s="19" t="s">
        <v>467</v>
      </c>
      <c r="E613" s="19" t="s">
        <v>133</v>
      </c>
      <c r="F613" s="19" t="s">
        <v>170</v>
      </c>
      <c r="G613" s="21">
        <v>26.0</v>
      </c>
      <c r="H613" s="22">
        <v>76.6</v>
      </c>
    </row>
    <row r="614">
      <c r="A614" s="19">
        <v>613.0</v>
      </c>
      <c r="B614" s="19">
        <v>648.0</v>
      </c>
      <c r="C614" s="19">
        <v>600.0</v>
      </c>
      <c r="D614" s="19" t="s">
        <v>819</v>
      </c>
      <c r="E614" s="19" t="s">
        <v>166</v>
      </c>
      <c r="F614" s="19" t="s">
        <v>40</v>
      </c>
      <c r="G614" s="21">
        <v>78.0</v>
      </c>
      <c r="H614" s="22">
        <v>99.1</v>
      </c>
    </row>
    <row r="615">
      <c r="A615" s="19">
        <v>614.0</v>
      </c>
      <c r="B615" s="19">
        <v>747.0</v>
      </c>
      <c r="C615" s="19">
        <v>601.0</v>
      </c>
      <c r="D615" s="19" t="s">
        <v>820</v>
      </c>
      <c r="E615" s="19" t="s">
        <v>112</v>
      </c>
      <c r="F615" s="19" t="s">
        <v>85</v>
      </c>
      <c r="G615" s="21">
        <v>33.0</v>
      </c>
      <c r="H615" s="22">
        <v>99.1</v>
      </c>
    </row>
    <row r="616">
      <c r="A616" s="19">
        <v>615.0</v>
      </c>
      <c r="B616" s="19">
        <v>457.0</v>
      </c>
      <c r="C616" s="19">
        <v>690.0</v>
      </c>
      <c r="D616" s="19" t="s">
        <v>821</v>
      </c>
      <c r="E616" s="19" t="s">
        <v>287</v>
      </c>
      <c r="F616" s="19" t="s">
        <v>40</v>
      </c>
      <c r="G616" s="21">
        <v>79.0</v>
      </c>
      <c r="H616" s="22">
        <v>72.0</v>
      </c>
    </row>
    <row r="617">
      <c r="A617" s="19">
        <v>616.0</v>
      </c>
      <c r="B617" s="19">
        <v>531.0</v>
      </c>
      <c r="C617" s="19">
        <v>602.0</v>
      </c>
      <c r="D617" s="19" t="s">
        <v>822</v>
      </c>
      <c r="E617" s="19" t="s">
        <v>823</v>
      </c>
      <c r="F617" s="19" t="s">
        <v>40</v>
      </c>
      <c r="G617" s="21">
        <v>80.0</v>
      </c>
      <c r="H617" s="22">
        <v>63.0</v>
      </c>
    </row>
    <row r="618">
      <c r="A618" s="19">
        <v>617.0</v>
      </c>
      <c r="B618" s="19">
        <v>473.0</v>
      </c>
      <c r="C618" s="19">
        <v>607.0</v>
      </c>
      <c r="D618" s="19" t="s">
        <v>824</v>
      </c>
      <c r="E618" s="19" t="s">
        <v>312</v>
      </c>
      <c r="F618" s="19" t="s">
        <v>682</v>
      </c>
      <c r="G618" s="21">
        <v>4.0</v>
      </c>
      <c r="H618" s="22">
        <v>76.6</v>
      </c>
    </row>
    <row r="619">
      <c r="A619" s="19">
        <v>618.0</v>
      </c>
      <c r="B619" s="19">
        <v>622.0</v>
      </c>
      <c r="C619" s="19">
        <v>608.0</v>
      </c>
      <c r="D619" s="19" t="s">
        <v>825</v>
      </c>
      <c r="E619" s="19" t="s">
        <v>146</v>
      </c>
      <c r="F619" s="19" t="s">
        <v>23</v>
      </c>
      <c r="G619" s="21">
        <v>44.0</v>
      </c>
      <c r="H619" s="22">
        <v>76.5</v>
      </c>
    </row>
    <row r="620">
      <c r="A620" s="19">
        <v>619.0</v>
      </c>
      <c r="B620" s="19">
        <v>465.0</v>
      </c>
      <c r="C620" s="19">
        <v>816.0</v>
      </c>
      <c r="D620" s="19" t="s">
        <v>826</v>
      </c>
      <c r="E620" s="19" t="s">
        <v>827</v>
      </c>
      <c r="F620" s="19" t="s">
        <v>23</v>
      </c>
      <c r="G620" s="21">
        <v>45.0</v>
      </c>
      <c r="H620" s="22">
        <v>99.1</v>
      </c>
    </row>
    <row r="621">
      <c r="A621" s="19">
        <v>620.0</v>
      </c>
      <c r="B621" s="19">
        <v>632.0</v>
      </c>
      <c r="C621" s="19">
        <v>609.0</v>
      </c>
      <c r="D621" s="19" t="s">
        <v>828</v>
      </c>
      <c r="E621" s="19" t="s">
        <v>704</v>
      </c>
      <c r="F621" s="19" t="s">
        <v>63</v>
      </c>
      <c r="G621" s="21">
        <v>44.0</v>
      </c>
      <c r="H621" s="22">
        <v>72.0</v>
      </c>
    </row>
    <row r="622">
      <c r="A622" s="19">
        <v>621.0</v>
      </c>
      <c r="B622" s="19">
        <v>467.0</v>
      </c>
      <c r="C622" s="19">
        <v>671.0</v>
      </c>
      <c r="D622" s="19" t="s">
        <v>829</v>
      </c>
      <c r="E622" s="19" t="s">
        <v>830</v>
      </c>
      <c r="F622" s="19" t="s">
        <v>23</v>
      </c>
      <c r="G622" s="21">
        <v>46.0</v>
      </c>
      <c r="H622" s="22">
        <v>76.5</v>
      </c>
    </row>
    <row r="623">
      <c r="A623" s="19">
        <v>622.0</v>
      </c>
      <c r="B623" s="19">
        <v>449.0</v>
      </c>
      <c r="C623" s="19">
        <v>740.0</v>
      </c>
      <c r="D623" s="19" t="s">
        <v>831</v>
      </c>
      <c r="E623" s="19" t="s">
        <v>784</v>
      </c>
      <c r="F623" s="19" t="s">
        <v>15</v>
      </c>
      <c r="G623" s="21">
        <v>26.0</v>
      </c>
      <c r="H623" s="22">
        <v>68.9</v>
      </c>
    </row>
    <row r="624">
      <c r="A624" s="19">
        <v>623.0</v>
      </c>
      <c r="B624" s="19">
        <v>838.0</v>
      </c>
      <c r="C624" s="19">
        <v>561.0</v>
      </c>
      <c r="D624" s="19" t="s">
        <v>832</v>
      </c>
      <c r="E624" s="19" t="s">
        <v>807</v>
      </c>
      <c r="F624" s="19" t="s">
        <v>32</v>
      </c>
      <c r="G624" s="21">
        <v>62.0</v>
      </c>
      <c r="H624" s="22">
        <v>68.9</v>
      </c>
    </row>
    <row r="625">
      <c r="A625" s="19">
        <v>624.0</v>
      </c>
      <c r="B625" s="19">
        <v>683.0</v>
      </c>
      <c r="C625" s="19">
        <v>613.0</v>
      </c>
      <c r="D625" s="19" t="s">
        <v>833</v>
      </c>
      <c r="E625" s="19" t="s">
        <v>834</v>
      </c>
      <c r="F625" s="19" t="s">
        <v>26</v>
      </c>
      <c r="G625" s="21">
        <v>57.0</v>
      </c>
      <c r="H625" s="22">
        <v>65.2</v>
      </c>
    </row>
    <row r="626">
      <c r="A626" s="19">
        <v>625.0</v>
      </c>
      <c r="B626" s="19">
        <v>684.0</v>
      </c>
      <c r="C626" s="19">
        <v>614.0</v>
      </c>
      <c r="D626" s="19" t="s">
        <v>835</v>
      </c>
      <c r="E626" s="19" t="s">
        <v>18</v>
      </c>
      <c r="F626" s="19" t="s">
        <v>85</v>
      </c>
      <c r="G626" s="21">
        <v>34.0</v>
      </c>
      <c r="H626" s="22">
        <v>66.2</v>
      </c>
    </row>
    <row r="627">
      <c r="A627" s="19">
        <v>626.0</v>
      </c>
      <c r="B627" s="19">
        <v>818.0</v>
      </c>
      <c r="C627" s="19">
        <v>565.0</v>
      </c>
      <c r="D627" s="19" t="s">
        <v>836</v>
      </c>
      <c r="E627" s="19" t="s">
        <v>340</v>
      </c>
      <c r="F627" s="19" t="s">
        <v>32</v>
      </c>
      <c r="G627" s="21">
        <v>63.0</v>
      </c>
      <c r="H627" s="22">
        <v>76.5</v>
      </c>
    </row>
    <row r="628">
      <c r="A628" s="19">
        <v>627.0</v>
      </c>
      <c r="B628" s="19">
        <v>676.0</v>
      </c>
      <c r="C628" s="19">
        <v>619.0</v>
      </c>
      <c r="D628" s="19" t="s">
        <v>837</v>
      </c>
      <c r="E628" s="19" t="s">
        <v>838</v>
      </c>
      <c r="F628" s="19" t="s">
        <v>32</v>
      </c>
      <c r="G628" s="21">
        <v>64.0</v>
      </c>
      <c r="H628" s="22">
        <v>99.1</v>
      </c>
    </row>
    <row r="629">
      <c r="A629" s="19">
        <v>628.0</v>
      </c>
      <c r="B629" s="19">
        <v>711.0</v>
      </c>
      <c r="C629" s="19">
        <v>617.0</v>
      </c>
      <c r="D629" s="19" t="s">
        <v>839</v>
      </c>
      <c r="E629" s="19" t="s">
        <v>310</v>
      </c>
      <c r="F629" s="19" t="s">
        <v>32</v>
      </c>
      <c r="G629" s="21">
        <v>65.0</v>
      </c>
      <c r="H629" s="22">
        <v>76.5</v>
      </c>
    </row>
    <row r="630">
      <c r="A630" s="19">
        <v>629.0</v>
      </c>
      <c r="B630" s="19">
        <v>796.0</v>
      </c>
      <c r="C630" s="19">
        <v>620.0</v>
      </c>
      <c r="D630" s="19" t="s">
        <v>840</v>
      </c>
      <c r="E630" s="19" t="s">
        <v>137</v>
      </c>
      <c r="F630" s="19" t="s">
        <v>38</v>
      </c>
      <c r="G630" s="21">
        <v>45.0</v>
      </c>
      <c r="H630" s="22">
        <v>67.1</v>
      </c>
    </row>
    <row r="631">
      <c r="A631" s="19">
        <v>630.0</v>
      </c>
      <c r="B631" s="19">
        <v>481.0</v>
      </c>
      <c r="C631" s="19">
        <v>766.0</v>
      </c>
      <c r="D631" s="19" t="s">
        <v>841</v>
      </c>
      <c r="E631" s="19" t="s">
        <v>459</v>
      </c>
      <c r="F631" s="19" t="s">
        <v>32</v>
      </c>
      <c r="G631" s="21">
        <v>66.0</v>
      </c>
      <c r="H631" s="22">
        <v>76.5</v>
      </c>
    </row>
    <row r="632">
      <c r="A632" s="19">
        <v>631.0</v>
      </c>
      <c r="B632" s="19">
        <v>705.0</v>
      </c>
      <c r="C632" s="19">
        <v>621.0</v>
      </c>
      <c r="D632" s="19" t="s">
        <v>842</v>
      </c>
      <c r="E632" s="19" t="s">
        <v>212</v>
      </c>
      <c r="F632" s="19" t="s">
        <v>32</v>
      </c>
      <c r="G632" s="21">
        <v>67.0</v>
      </c>
      <c r="H632" s="22">
        <v>68.9</v>
      </c>
    </row>
    <row r="633">
      <c r="A633" s="19">
        <v>632.0</v>
      </c>
      <c r="B633" s="19">
        <v>549.0</v>
      </c>
      <c r="C633" s="19">
        <v>623.0</v>
      </c>
      <c r="D633" s="19" t="s">
        <v>843</v>
      </c>
      <c r="E633" s="19" t="s">
        <v>216</v>
      </c>
      <c r="F633" s="19" t="s">
        <v>15</v>
      </c>
      <c r="G633" s="21">
        <v>27.0</v>
      </c>
      <c r="H633" s="22">
        <v>66.2</v>
      </c>
    </row>
    <row r="634">
      <c r="A634" s="19">
        <v>634.0</v>
      </c>
      <c r="B634" s="19">
        <v>636.0</v>
      </c>
      <c r="C634" s="19">
        <v>624.0</v>
      </c>
      <c r="D634" s="19" t="s">
        <v>844</v>
      </c>
      <c r="E634" s="19" t="s">
        <v>112</v>
      </c>
      <c r="F634" s="19" t="s">
        <v>44</v>
      </c>
      <c r="G634" s="21">
        <v>67.0</v>
      </c>
      <c r="H634" s="22">
        <v>66.2</v>
      </c>
    </row>
    <row r="635">
      <c r="A635" s="19">
        <v>633.0</v>
      </c>
      <c r="B635" s="19">
        <v>483.0</v>
      </c>
      <c r="C635" s="19">
        <v>823.0</v>
      </c>
      <c r="D635" s="19" t="s">
        <v>845</v>
      </c>
      <c r="E635" s="19" t="s">
        <v>182</v>
      </c>
      <c r="F635" s="19" t="s">
        <v>19</v>
      </c>
      <c r="G635" s="21">
        <v>47.0</v>
      </c>
      <c r="H635" s="22">
        <v>99.1</v>
      </c>
    </row>
    <row r="636">
      <c r="A636" s="19">
        <v>635.0</v>
      </c>
      <c r="B636" s="19">
        <v>540.0</v>
      </c>
      <c r="C636" s="19">
        <v>625.0</v>
      </c>
      <c r="D636" s="19" t="s">
        <v>468</v>
      </c>
      <c r="E636" s="19" t="s">
        <v>22</v>
      </c>
      <c r="F636" s="19" t="s">
        <v>85</v>
      </c>
      <c r="G636" s="21">
        <v>35.0</v>
      </c>
      <c r="H636" s="22">
        <v>68.9</v>
      </c>
    </row>
    <row r="637">
      <c r="A637" s="19">
        <v>636.0</v>
      </c>
      <c r="B637" s="19">
        <v>734.0</v>
      </c>
      <c r="C637" s="19">
        <v>627.0</v>
      </c>
      <c r="D637" s="19" t="s">
        <v>846</v>
      </c>
      <c r="E637" s="19" t="s">
        <v>243</v>
      </c>
      <c r="F637" s="19" t="s">
        <v>26</v>
      </c>
      <c r="G637" s="21">
        <v>58.0</v>
      </c>
      <c r="H637" s="22">
        <v>68.9</v>
      </c>
    </row>
    <row r="638">
      <c r="A638" s="19">
        <v>637.0</v>
      </c>
      <c r="B638" s="19">
        <v>494.0</v>
      </c>
      <c r="C638" s="19">
        <v>632.0</v>
      </c>
      <c r="D638" s="19" t="s">
        <v>847</v>
      </c>
      <c r="E638" s="19" t="s">
        <v>227</v>
      </c>
      <c r="F638" s="19" t="s">
        <v>40</v>
      </c>
      <c r="G638" s="21">
        <v>81.0</v>
      </c>
      <c r="H638" s="22">
        <v>60.7</v>
      </c>
    </row>
    <row r="639">
      <c r="A639" s="19">
        <v>638.0</v>
      </c>
      <c r="B639" s="19">
        <v>501.0</v>
      </c>
      <c r="C639" s="19">
        <v>644.0</v>
      </c>
      <c r="D639" s="19" t="s">
        <v>848</v>
      </c>
      <c r="E639" s="19" t="s">
        <v>459</v>
      </c>
      <c r="F639" s="19" t="s">
        <v>19</v>
      </c>
      <c r="G639" s="21">
        <v>48.0</v>
      </c>
      <c r="H639" s="22">
        <v>68.9</v>
      </c>
    </row>
    <row r="640">
      <c r="A640" s="19">
        <v>639.0</v>
      </c>
      <c r="B640" s="19">
        <v>694.0</v>
      </c>
      <c r="C640" s="19">
        <v>539.0</v>
      </c>
      <c r="D640" s="19" t="s">
        <v>849</v>
      </c>
      <c r="E640" s="19" t="s">
        <v>14</v>
      </c>
      <c r="F640" s="19" t="s">
        <v>40</v>
      </c>
      <c r="G640" s="21">
        <v>82.0</v>
      </c>
      <c r="H640" s="22">
        <v>68.9</v>
      </c>
    </row>
    <row r="641">
      <c r="A641" s="19">
        <v>640.0</v>
      </c>
      <c r="B641" s="19">
        <v>447.0</v>
      </c>
      <c r="C641" s="19">
        <v>631.0</v>
      </c>
      <c r="D641" s="19" t="s">
        <v>850</v>
      </c>
      <c r="E641" s="19" t="s">
        <v>137</v>
      </c>
      <c r="F641" s="19" t="s">
        <v>19</v>
      </c>
      <c r="G641" s="21">
        <v>49.0</v>
      </c>
      <c r="H641" s="22">
        <v>63.0</v>
      </c>
    </row>
    <row r="642">
      <c r="A642" s="19">
        <v>644.0</v>
      </c>
      <c r="B642" s="19">
        <v>583.0</v>
      </c>
      <c r="C642" s="19">
        <v>555.0</v>
      </c>
      <c r="D642" s="19" t="s">
        <v>851</v>
      </c>
      <c r="E642" s="19" t="s">
        <v>87</v>
      </c>
      <c r="F642" s="19" t="s">
        <v>40</v>
      </c>
      <c r="G642" s="21">
        <v>83.0</v>
      </c>
      <c r="H642" s="22">
        <v>63.0</v>
      </c>
    </row>
    <row r="643">
      <c r="A643" s="19">
        <v>642.0</v>
      </c>
      <c r="B643" s="19">
        <v>433.0</v>
      </c>
      <c r="C643" s="19">
        <v>639.0</v>
      </c>
      <c r="D643" s="19" t="s">
        <v>852</v>
      </c>
      <c r="E643" s="19" t="s">
        <v>126</v>
      </c>
      <c r="F643" s="19" t="s">
        <v>32</v>
      </c>
      <c r="G643" s="21">
        <v>68.0</v>
      </c>
      <c r="H643" s="22">
        <v>68.0</v>
      </c>
    </row>
    <row r="644">
      <c r="A644" s="19">
        <v>643.0</v>
      </c>
      <c r="B644" s="19">
        <v>539.0</v>
      </c>
      <c r="C644" s="19">
        <v>637.0</v>
      </c>
      <c r="D644" s="19" t="s">
        <v>853</v>
      </c>
      <c r="E644" s="19" t="s">
        <v>166</v>
      </c>
      <c r="F644" s="19" t="s">
        <v>38</v>
      </c>
      <c r="G644" s="21">
        <v>46.0</v>
      </c>
      <c r="H644" s="22">
        <v>70.2</v>
      </c>
    </row>
    <row r="645">
      <c r="A645" s="19">
        <v>645.0</v>
      </c>
      <c r="B645" s="19">
        <v>670.0</v>
      </c>
      <c r="C645" s="19">
        <v>630.0</v>
      </c>
      <c r="D645" s="19" t="s">
        <v>854</v>
      </c>
      <c r="E645" s="19" t="s">
        <v>204</v>
      </c>
      <c r="F645" s="19" t="s">
        <v>32</v>
      </c>
      <c r="G645" s="21">
        <v>69.0</v>
      </c>
      <c r="H645" s="22">
        <v>63.0</v>
      </c>
    </row>
    <row r="646">
      <c r="A646" s="19">
        <v>646.0</v>
      </c>
      <c r="B646" s="19">
        <v>441.0</v>
      </c>
      <c r="C646" s="19">
        <v>698.0</v>
      </c>
      <c r="D646" s="19" t="s">
        <v>855</v>
      </c>
      <c r="E646" s="19" t="s">
        <v>711</v>
      </c>
      <c r="F646" s="19" t="s">
        <v>44</v>
      </c>
      <c r="G646" s="21">
        <v>69.0</v>
      </c>
      <c r="H646" s="22">
        <v>65.2</v>
      </c>
    </row>
    <row r="647">
      <c r="A647" s="19">
        <v>647.0</v>
      </c>
      <c r="B647" s="19">
        <v>530.0</v>
      </c>
      <c r="C647" s="19">
        <v>684.0</v>
      </c>
      <c r="D647" s="19" t="s">
        <v>856</v>
      </c>
      <c r="E647" s="19" t="s">
        <v>622</v>
      </c>
      <c r="F647" s="19" t="s">
        <v>19</v>
      </c>
      <c r="G647" s="21">
        <v>50.0</v>
      </c>
      <c r="H647" s="22">
        <v>68.8</v>
      </c>
    </row>
    <row r="648">
      <c r="A648" s="19">
        <v>648.0</v>
      </c>
      <c r="B648" s="19">
        <v>590.0</v>
      </c>
      <c r="C648" s="19">
        <v>634.0</v>
      </c>
      <c r="D648" s="19" t="s">
        <v>857</v>
      </c>
      <c r="E648" s="19" t="s">
        <v>544</v>
      </c>
      <c r="F648" s="19" t="s">
        <v>23</v>
      </c>
      <c r="G648" s="21">
        <v>47.0</v>
      </c>
      <c r="H648" s="22">
        <v>73.8</v>
      </c>
    </row>
    <row r="649">
      <c r="A649" s="19">
        <v>649.0</v>
      </c>
      <c r="B649" s="19">
        <v>535.0</v>
      </c>
      <c r="C649" s="19">
        <v>638.0</v>
      </c>
      <c r="D649" s="19" t="s">
        <v>858</v>
      </c>
      <c r="E649" s="19" t="s">
        <v>75</v>
      </c>
      <c r="F649" s="19" t="s">
        <v>54</v>
      </c>
      <c r="G649" s="21">
        <v>48.0</v>
      </c>
      <c r="H649" s="22">
        <v>68.9</v>
      </c>
    </row>
    <row r="650">
      <c r="A650" s="19">
        <v>650.0</v>
      </c>
      <c r="B650" s="19">
        <v>586.0</v>
      </c>
      <c r="C650" s="19">
        <v>651.0</v>
      </c>
      <c r="D650" s="19" t="s">
        <v>859</v>
      </c>
      <c r="E650" s="19" t="s">
        <v>243</v>
      </c>
      <c r="F650" s="19" t="s">
        <v>63</v>
      </c>
      <c r="G650" s="21">
        <v>45.0</v>
      </c>
      <c r="H650" s="22">
        <v>68.8</v>
      </c>
    </row>
    <row r="651">
      <c r="A651" s="19">
        <v>658.0</v>
      </c>
      <c r="B651" s="19">
        <v>582.0</v>
      </c>
      <c r="C651" s="19">
        <v>738.0</v>
      </c>
      <c r="D651" s="19" t="s">
        <v>860</v>
      </c>
      <c r="E651" s="19" t="s">
        <v>243</v>
      </c>
      <c r="F651" s="19" t="s">
        <v>44</v>
      </c>
      <c r="G651" s="21">
        <v>70.0</v>
      </c>
      <c r="H651" s="22">
        <v>65.2</v>
      </c>
    </row>
    <row r="652">
      <c r="A652" s="19">
        <v>651.0</v>
      </c>
      <c r="B652" s="19">
        <v>764.0</v>
      </c>
      <c r="C652" s="19">
        <v>529.0</v>
      </c>
      <c r="D652" s="19" t="s">
        <v>861</v>
      </c>
      <c r="E652" s="19" t="s">
        <v>438</v>
      </c>
      <c r="F652" s="19" t="s">
        <v>23</v>
      </c>
      <c r="G652" s="21">
        <v>48.0</v>
      </c>
      <c r="H652" s="22">
        <v>63.4</v>
      </c>
    </row>
    <row r="653">
      <c r="A653" s="19">
        <v>652.0</v>
      </c>
      <c r="B653" s="19">
        <v>517.0</v>
      </c>
      <c r="C653" s="19">
        <v>754.0</v>
      </c>
      <c r="D653" s="19" t="s">
        <v>862</v>
      </c>
      <c r="E653" s="19" t="s">
        <v>70</v>
      </c>
      <c r="F653" s="19" t="s">
        <v>19</v>
      </c>
      <c r="G653" s="21">
        <v>51.0</v>
      </c>
      <c r="H653" s="22">
        <v>68.8</v>
      </c>
    </row>
    <row r="654">
      <c r="A654" s="19">
        <v>653.0</v>
      </c>
      <c r="B654" s="19">
        <v>625.0</v>
      </c>
      <c r="C654" s="19">
        <v>643.0</v>
      </c>
      <c r="D654" s="19" t="s">
        <v>863</v>
      </c>
      <c r="E654" s="19" t="s">
        <v>146</v>
      </c>
      <c r="F654" s="19" t="s">
        <v>170</v>
      </c>
      <c r="G654" s="21">
        <v>27.0</v>
      </c>
      <c r="H654" s="22">
        <v>76.6</v>
      </c>
    </row>
    <row r="655">
      <c r="A655" s="19">
        <v>654.0</v>
      </c>
      <c r="B655" s="19">
        <v>534.0</v>
      </c>
      <c r="C655" s="19">
        <v>670.0</v>
      </c>
      <c r="D655" s="19" t="s">
        <v>864</v>
      </c>
      <c r="E655" s="19" t="s">
        <v>622</v>
      </c>
      <c r="F655" s="19" t="s">
        <v>23</v>
      </c>
      <c r="G655" s="21">
        <v>49.0</v>
      </c>
      <c r="H655" s="22">
        <v>76.5</v>
      </c>
    </row>
    <row r="656">
      <c r="A656" s="19">
        <v>655.0</v>
      </c>
      <c r="B656" s="19">
        <v>562.0</v>
      </c>
      <c r="C656" s="19">
        <v>715.0</v>
      </c>
      <c r="D656" s="19" t="s">
        <v>865</v>
      </c>
      <c r="E656" s="19" t="s">
        <v>490</v>
      </c>
      <c r="F656" s="19" t="s">
        <v>15</v>
      </c>
      <c r="G656" s="21">
        <v>28.0</v>
      </c>
      <c r="H656" s="22">
        <v>76.5</v>
      </c>
    </row>
    <row r="657">
      <c r="A657" s="19">
        <v>657.0</v>
      </c>
      <c r="B657" s="19">
        <v>537.0</v>
      </c>
      <c r="C657" s="19">
        <v>696.0</v>
      </c>
      <c r="D657" s="19" t="s">
        <v>866</v>
      </c>
      <c r="E657" s="19" t="s">
        <v>107</v>
      </c>
      <c r="F657" s="19" t="s">
        <v>682</v>
      </c>
      <c r="G657" s="21">
        <v>5.0</v>
      </c>
      <c r="H657" s="22">
        <v>65.2</v>
      </c>
    </row>
    <row r="658">
      <c r="A658" s="19">
        <v>656.0</v>
      </c>
      <c r="B658" s="19">
        <v>751.0</v>
      </c>
      <c r="C658" s="19">
        <v>635.0</v>
      </c>
      <c r="D658" s="19" t="s">
        <v>867</v>
      </c>
      <c r="E658" s="19" t="s">
        <v>80</v>
      </c>
      <c r="F658" s="19" t="s">
        <v>38</v>
      </c>
      <c r="G658" s="21">
        <v>47.0</v>
      </c>
      <c r="H658" s="22">
        <v>76.5</v>
      </c>
    </row>
    <row r="659">
      <c r="A659" s="19">
        <v>659.0</v>
      </c>
      <c r="B659" s="19">
        <v>621.0</v>
      </c>
      <c r="C659" s="19">
        <v>649.0</v>
      </c>
      <c r="D659" s="19" t="s">
        <v>868</v>
      </c>
      <c r="E659" s="19" t="s">
        <v>310</v>
      </c>
      <c r="F659" s="19" t="s">
        <v>32</v>
      </c>
      <c r="G659" s="21">
        <v>70.0</v>
      </c>
      <c r="H659" s="22">
        <v>76.5</v>
      </c>
    </row>
    <row r="660">
      <c r="A660" s="19">
        <v>666.0</v>
      </c>
      <c r="B660" s="19">
        <v>682.0</v>
      </c>
      <c r="C660" s="19">
        <v>663.0</v>
      </c>
      <c r="D660" s="19" t="s">
        <v>869</v>
      </c>
      <c r="E660" s="19" t="s">
        <v>501</v>
      </c>
      <c r="F660" s="19" t="s">
        <v>19</v>
      </c>
      <c r="G660" s="21">
        <v>52.0</v>
      </c>
      <c r="H660" s="22">
        <v>76.5</v>
      </c>
    </row>
    <row r="661">
      <c r="A661" s="19">
        <v>675.0</v>
      </c>
      <c r="B661" s="19">
        <v>602.0</v>
      </c>
      <c r="C661" s="19">
        <v>582.0</v>
      </c>
      <c r="D661" s="19" t="s">
        <v>870</v>
      </c>
      <c r="E661" s="19" t="s">
        <v>59</v>
      </c>
      <c r="F661" s="19" t="s">
        <v>40</v>
      </c>
      <c r="G661" s="21">
        <v>86.0</v>
      </c>
      <c r="H661" s="22">
        <v>76.5</v>
      </c>
    </row>
    <row r="662">
      <c r="A662" s="19">
        <v>660.0</v>
      </c>
      <c r="B662" s="19">
        <v>512.0</v>
      </c>
      <c r="C662" s="19">
        <v>768.0</v>
      </c>
      <c r="D662" s="19" t="s">
        <v>871</v>
      </c>
      <c r="E662" s="19" t="s">
        <v>695</v>
      </c>
      <c r="F662" s="19" t="s">
        <v>454</v>
      </c>
      <c r="G662" s="21">
        <v>6.0</v>
      </c>
      <c r="H662" s="22">
        <v>68.9</v>
      </c>
    </row>
    <row r="663">
      <c r="A663" s="19">
        <v>661.0</v>
      </c>
      <c r="B663" s="19">
        <v>544.0</v>
      </c>
      <c r="C663" s="19">
        <v>716.0</v>
      </c>
      <c r="D663" s="19" t="s">
        <v>872</v>
      </c>
      <c r="E663" s="19" t="s">
        <v>112</v>
      </c>
      <c r="F663" s="19" t="s">
        <v>44</v>
      </c>
      <c r="G663" s="21">
        <v>71.0</v>
      </c>
      <c r="H663" s="22">
        <v>76.5</v>
      </c>
    </row>
    <row r="664">
      <c r="A664" s="19">
        <v>662.0</v>
      </c>
      <c r="B664" s="19">
        <v>698.0</v>
      </c>
      <c r="C664" s="19">
        <v>636.0</v>
      </c>
      <c r="D664" s="19" t="s">
        <v>873</v>
      </c>
      <c r="E664" s="19" t="s">
        <v>137</v>
      </c>
      <c r="F664" s="19" t="s">
        <v>38</v>
      </c>
      <c r="G664" s="21">
        <v>48.0</v>
      </c>
      <c r="H664" s="22">
        <v>76.5</v>
      </c>
    </row>
    <row r="665">
      <c r="A665" s="19">
        <v>663.0</v>
      </c>
      <c r="B665" s="19">
        <v>643.0</v>
      </c>
      <c r="C665" s="19">
        <v>650.0</v>
      </c>
      <c r="D665" s="19" t="s">
        <v>874</v>
      </c>
      <c r="E665" s="19" t="s">
        <v>73</v>
      </c>
      <c r="F665" s="19" t="s">
        <v>54</v>
      </c>
      <c r="G665" s="21">
        <v>49.0</v>
      </c>
      <c r="H665" s="22">
        <v>99.1</v>
      </c>
    </row>
    <row r="666">
      <c r="A666" s="19">
        <v>664.0</v>
      </c>
      <c r="B666" s="19">
        <v>567.0</v>
      </c>
      <c r="C666" s="19">
        <v>665.0</v>
      </c>
      <c r="D666" s="19" t="s">
        <v>875</v>
      </c>
      <c r="E666" s="19" t="s">
        <v>73</v>
      </c>
      <c r="F666" s="19" t="s">
        <v>38</v>
      </c>
      <c r="G666" s="21">
        <v>49.0</v>
      </c>
      <c r="H666" s="22">
        <v>76.5</v>
      </c>
    </row>
    <row r="667">
      <c r="A667" s="19">
        <v>665.0</v>
      </c>
      <c r="B667" s="19">
        <v>545.0</v>
      </c>
      <c r="C667" s="19">
        <v>563.0</v>
      </c>
      <c r="D667" s="19" t="s">
        <v>876</v>
      </c>
      <c r="E667" s="19" t="s">
        <v>877</v>
      </c>
      <c r="F667" s="19" t="s">
        <v>40</v>
      </c>
      <c r="G667" s="21">
        <v>84.0</v>
      </c>
      <c r="H667" s="22">
        <v>76.5</v>
      </c>
    </row>
    <row r="668">
      <c r="A668" s="19">
        <v>667.0</v>
      </c>
      <c r="B668" s="19">
        <v>601.0</v>
      </c>
      <c r="C668" s="19">
        <v>743.0</v>
      </c>
      <c r="D668" s="19" t="s">
        <v>878</v>
      </c>
      <c r="E668" s="19" t="s">
        <v>175</v>
      </c>
      <c r="F668" s="19" t="s">
        <v>32</v>
      </c>
      <c r="G668" s="21">
        <v>71.0</v>
      </c>
      <c r="H668" s="22">
        <v>68.8</v>
      </c>
    </row>
    <row r="669">
      <c r="A669" s="19">
        <v>668.0</v>
      </c>
      <c r="B669" s="19">
        <v>620.0</v>
      </c>
      <c r="C669" s="19">
        <v>692.0</v>
      </c>
      <c r="D669" s="19" t="s">
        <v>879</v>
      </c>
      <c r="E669" s="19" t="s">
        <v>424</v>
      </c>
      <c r="F669" s="19" t="s">
        <v>19</v>
      </c>
      <c r="G669" s="21">
        <v>53.0</v>
      </c>
      <c r="H669" s="22">
        <v>76.5</v>
      </c>
    </row>
    <row r="670">
      <c r="A670" s="19">
        <v>669.0</v>
      </c>
      <c r="B670" s="19">
        <v>706.0</v>
      </c>
      <c r="C670" s="19">
        <v>647.0</v>
      </c>
      <c r="D670" s="19" t="s">
        <v>880</v>
      </c>
      <c r="E670" s="19" t="s">
        <v>202</v>
      </c>
      <c r="F670" s="19" t="s">
        <v>23</v>
      </c>
      <c r="G670" s="21">
        <v>50.0</v>
      </c>
      <c r="H670" s="22">
        <v>90.1</v>
      </c>
    </row>
    <row r="671">
      <c r="A671" s="19">
        <v>670.0</v>
      </c>
      <c r="B671" s="19">
        <v>663.0</v>
      </c>
      <c r="C671" s="19">
        <v>646.0</v>
      </c>
      <c r="D671" s="19" t="s">
        <v>881</v>
      </c>
      <c r="E671" s="19" t="s">
        <v>150</v>
      </c>
      <c r="F671" s="19" t="s">
        <v>91</v>
      </c>
      <c r="G671" s="21">
        <v>19.0</v>
      </c>
      <c r="H671" s="22">
        <v>99.1</v>
      </c>
    </row>
    <row r="672">
      <c r="A672" s="19">
        <v>671.0</v>
      </c>
      <c r="B672" s="19">
        <v>704.0</v>
      </c>
      <c r="C672" s="19">
        <v>657.0</v>
      </c>
      <c r="D672" s="19" t="s">
        <v>882</v>
      </c>
      <c r="E672" s="19" t="s">
        <v>883</v>
      </c>
      <c r="F672" s="19" t="s">
        <v>19</v>
      </c>
      <c r="G672" s="21">
        <v>54.0</v>
      </c>
      <c r="H672" s="22">
        <v>76.5</v>
      </c>
    </row>
    <row r="673">
      <c r="A673" s="19">
        <v>672.0</v>
      </c>
      <c r="B673" s="19">
        <v>610.0</v>
      </c>
      <c r="C673" s="19">
        <v>678.0</v>
      </c>
      <c r="D673" s="19" t="s">
        <v>884</v>
      </c>
      <c r="E673" s="19" t="s">
        <v>175</v>
      </c>
      <c r="F673" s="19" t="s">
        <v>40</v>
      </c>
      <c r="G673" s="21">
        <v>85.0</v>
      </c>
      <c r="H673" s="22">
        <v>76.5</v>
      </c>
    </row>
    <row r="674">
      <c r="A674" s="19">
        <v>673.0</v>
      </c>
      <c r="B674" s="19">
        <v>678.0</v>
      </c>
      <c r="C674" s="19">
        <v>656.0</v>
      </c>
      <c r="D674" s="19" t="s">
        <v>885</v>
      </c>
      <c r="E674" s="19" t="s">
        <v>792</v>
      </c>
      <c r="F674" s="19" t="s">
        <v>23</v>
      </c>
      <c r="G674" s="21">
        <v>51.0</v>
      </c>
      <c r="H674" s="22">
        <v>68.9</v>
      </c>
    </row>
    <row r="675">
      <c r="A675" s="19">
        <v>674.0</v>
      </c>
      <c r="B675" s="19">
        <v>565.0</v>
      </c>
      <c r="C675" s="19">
        <v>723.0</v>
      </c>
      <c r="D675" s="19" t="s">
        <v>886</v>
      </c>
      <c r="E675" s="19" t="s">
        <v>887</v>
      </c>
      <c r="F675" s="19" t="s">
        <v>15</v>
      </c>
      <c r="G675" s="21">
        <v>29.0</v>
      </c>
      <c r="H675" s="22">
        <v>76.5</v>
      </c>
    </row>
    <row r="676">
      <c r="A676" s="19">
        <v>641.0</v>
      </c>
      <c r="B676" s="19">
        <v>605.0</v>
      </c>
      <c r="C676" s="19">
        <v>628.0</v>
      </c>
      <c r="D676" s="19" t="s">
        <v>888</v>
      </c>
      <c r="E676" s="19" t="s">
        <v>166</v>
      </c>
      <c r="F676" s="19" t="s">
        <v>44</v>
      </c>
      <c r="G676" s="21">
        <v>68.0</v>
      </c>
      <c r="H676" s="22">
        <v>76.5</v>
      </c>
    </row>
    <row r="677">
      <c r="A677" s="19">
        <v>676.0</v>
      </c>
      <c r="B677" s="19">
        <v>538.0</v>
      </c>
      <c r="C677" s="19">
        <v>737.0</v>
      </c>
      <c r="D677" s="19" t="s">
        <v>889</v>
      </c>
      <c r="E677" s="19" t="s">
        <v>890</v>
      </c>
      <c r="F677" s="19" t="s">
        <v>26</v>
      </c>
      <c r="G677" s="21">
        <v>59.0</v>
      </c>
      <c r="H677" s="22">
        <v>67.5</v>
      </c>
    </row>
    <row r="678">
      <c r="A678" s="19">
        <v>677.0</v>
      </c>
      <c r="B678" s="19">
        <v>742.0</v>
      </c>
      <c r="C678" s="19">
        <v>653.0</v>
      </c>
      <c r="D678" s="19" t="s">
        <v>891</v>
      </c>
      <c r="E678" s="19" t="s">
        <v>312</v>
      </c>
      <c r="F678" s="19" t="s">
        <v>54</v>
      </c>
      <c r="G678" s="21">
        <v>50.0</v>
      </c>
      <c r="H678" s="22">
        <v>76.5</v>
      </c>
    </row>
    <row r="679">
      <c r="A679" s="19">
        <v>678.0</v>
      </c>
      <c r="B679" s="19">
        <v>584.0</v>
      </c>
      <c r="C679" s="19">
        <v>682.0</v>
      </c>
      <c r="D679" s="19" t="s">
        <v>469</v>
      </c>
      <c r="E679" s="19" t="s">
        <v>208</v>
      </c>
      <c r="F679" s="19" t="s">
        <v>40</v>
      </c>
      <c r="G679" s="21">
        <v>87.0</v>
      </c>
      <c r="H679" s="22">
        <v>68.9</v>
      </c>
    </row>
    <row r="680">
      <c r="A680" s="19">
        <v>679.0</v>
      </c>
      <c r="B680" s="19">
        <v>661.0</v>
      </c>
      <c r="C680" s="19">
        <v>676.0</v>
      </c>
      <c r="D680" s="19" t="s">
        <v>470</v>
      </c>
      <c r="E680" s="19" t="s">
        <v>892</v>
      </c>
      <c r="F680" s="19" t="s">
        <v>19</v>
      </c>
      <c r="G680" s="21">
        <v>55.0</v>
      </c>
      <c r="H680" s="22">
        <v>69.8</v>
      </c>
    </row>
    <row r="681">
      <c r="A681" s="19">
        <v>680.0</v>
      </c>
      <c r="B681" s="19">
        <v>700.0</v>
      </c>
      <c r="C681" s="19">
        <v>659.0</v>
      </c>
      <c r="D681" s="19" t="s">
        <v>893</v>
      </c>
      <c r="E681" s="19" t="s">
        <v>816</v>
      </c>
      <c r="F681" s="19" t="s">
        <v>63</v>
      </c>
      <c r="G681" s="21">
        <v>46.0</v>
      </c>
      <c r="H681" s="22">
        <v>76.5</v>
      </c>
    </row>
    <row r="682">
      <c r="A682" s="19">
        <v>681.0</v>
      </c>
      <c r="B682" s="19">
        <v>606.0</v>
      </c>
      <c r="C682" s="19">
        <v>759.0</v>
      </c>
      <c r="D682" s="19" t="s">
        <v>894</v>
      </c>
      <c r="E682" s="19" t="s">
        <v>156</v>
      </c>
      <c r="F682" s="19" t="s">
        <v>19</v>
      </c>
      <c r="G682" s="21">
        <v>56.0</v>
      </c>
      <c r="H682" s="22">
        <v>76.5</v>
      </c>
    </row>
    <row r="683">
      <c r="A683" s="19">
        <v>682.0</v>
      </c>
      <c r="B683" s="19">
        <v>608.0</v>
      </c>
      <c r="C683" s="19">
        <v>673.0</v>
      </c>
      <c r="D683" s="19" t="s">
        <v>895</v>
      </c>
      <c r="E683" s="19" t="s">
        <v>896</v>
      </c>
      <c r="F683" s="19" t="s">
        <v>40</v>
      </c>
      <c r="G683" s="21">
        <v>88.0</v>
      </c>
      <c r="H683" s="22">
        <v>76.5</v>
      </c>
    </row>
    <row r="684">
      <c r="A684" s="19">
        <v>683.0</v>
      </c>
      <c r="B684" s="19">
        <v>536.0</v>
      </c>
      <c r="C684" s="19">
        <v>792.0</v>
      </c>
      <c r="D684" s="19" t="s">
        <v>897</v>
      </c>
      <c r="E684" s="19" t="s">
        <v>75</v>
      </c>
      <c r="F684" s="19" t="s">
        <v>170</v>
      </c>
      <c r="G684" s="21">
        <v>28.0</v>
      </c>
      <c r="H684" s="22">
        <v>90.1</v>
      </c>
    </row>
    <row r="685">
      <c r="A685" s="19">
        <v>684.0</v>
      </c>
      <c r="B685" s="19">
        <v>613.0</v>
      </c>
      <c r="C685" s="19">
        <v>704.0</v>
      </c>
      <c r="D685" s="19" t="s">
        <v>898</v>
      </c>
      <c r="E685" s="19" t="s">
        <v>816</v>
      </c>
      <c r="F685" s="19" t="s">
        <v>40</v>
      </c>
      <c r="G685" s="21">
        <v>89.0</v>
      </c>
      <c r="H685" s="22">
        <v>79.7</v>
      </c>
    </row>
    <row r="686">
      <c r="A686" s="19">
        <v>685.0</v>
      </c>
      <c r="B686" s="19">
        <v>585.0</v>
      </c>
      <c r="C686" s="19">
        <v>784.0</v>
      </c>
      <c r="D686" s="19" t="s">
        <v>899</v>
      </c>
      <c r="E686" s="19" t="s">
        <v>900</v>
      </c>
      <c r="F686" s="19" t="s">
        <v>15</v>
      </c>
      <c r="G686" s="21">
        <v>30.0</v>
      </c>
      <c r="H686" s="22">
        <v>76.5</v>
      </c>
    </row>
    <row r="687">
      <c r="A687" s="19">
        <v>686.0</v>
      </c>
      <c r="B687" s="19">
        <v>774.0</v>
      </c>
      <c r="C687" s="19">
        <v>645.0</v>
      </c>
      <c r="D687" s="19" t="s">
        <v>901</v>
      </c>
      <c r="E687" s="19" t="s">
        <v>284</v>
      </c>
      <c r="F687" s="19" t="s">
        <v>40</v>
      </c>
      <c r="G687" s="21">
        <v>90.0</v>
      </c>
      <c r="H687" s="22">
        <v>99.1</v>
      </c>
    </row>
    <row r="688">
      <c r="A688" s="19">
        <v>687.0</v>
      </c>
      <c r="B688" s="19">
        <v>686.0</v>
      </c>
      <c r="C688" s="19">
        <v>660.0</v>
      </c>
      <c r="D688" s="19" t="s">
        <v>902</v>
      </c>
      <c r="E688" s="19" t="s">
        <v>156</v>
      </c>
      <c r="F688" s="19" t="s">
        <v>15</v>
      </c>
      <c r="G688" s="21">
        <v>31.0</v>
      </c>
      <c r="H688" s="22">
        <v>76.5</v>
      </c>
    </row>
    <row r="689">
      <c r="A689" s="19">
        <v>688.0</v>
      </c>
      <c r="B689" s="19">
        <v>696.0</v>
      </c>
      <c r="C689" s="19">
        <v>701.0</v>
      </c>
      <c r="D689" s="19" t="s">
        <v>903</v>
      </c>
      <c r="E689" s="19" t="s">
        <v>807</v>
      </c>
      <c r="F689" s="19" t="s">
        <v>40</v>
      </c>
      <c r="G689" s="21">
        <v>91.0</v>
      </c>
      <c r="H689" s="22">
        <v>76.5</v>
      </c>
    </row>
    <row r="690">
      <c r="A690" s="19">
        <v>689.0</v>
      </c>
      <c r="B690" s="19">
        <v>600.0</v>
      </c>
      <c r="C690" s="19">
        <v>783.0</v>
      </c>
      <c r="D690" s="19" t="s">
        <v>904</v>
      </c>
      <c r="E690" s="19" t="s">
        <v>130</v>
      </c>
      <c r="F690" s="19" t="s">
        <v>19</v>
      </c>
      <c r="G690" s="21">
        <v>57.0</v>
      </c>
      <c r="H690" s="22">
        <v>90.1</v>
      </c>
    </row>
    <row r="691">
      <c r="A691" s="19">
        <v>691.0</v>
      </c>
      <c r="B691" s="19">
        <v>577.0</v>
      </c>
      <c r="C691" s="19">
        <v>794.0</v>
      </c>
      <c r="D691" s="19" t="s">
        <v>905</v>
      </c>
      <c r="E691" s="19" t="s">
        <v>223</v>
      </c>
      <c r="F691" s="19" t="s">
        <v>19</v>
      </c>
      <c r="G691" s="21">
        <v>58.0</v>
      </c>
      <c r="H691" s="22">
        <v>90.1</v>
      </c>
    </row>
    <row r="692">
      <c r="A692" s="19">
        <v>690.0</v>
      </c>
      <c r="B692" s="19">
        <v>561.0</v>
      </c>
      <c r="C692" s="19">
        <v>764.0</v>
      </c>
      <c r="D692" s="19" t="s">
        <v>906</v>
      </c>
      <c r="E692" s="19" t="s">
        <v>907</v>
      </c>
      <c r="F692" s="19" t="s">
        <v>26</v>
      </c>
      <c r="G692" s="21">
        <v>60.0</v>
      </c>
      <c r="H692" s="22">
        <v>68.9</v>
      </c>
    </row>
    <row r="693">
      <c r="A693" s="19">
        <v>692.0</v>
      </c>
      <c r="B693" s="19">
        <v>646.0</v>
      </c>
      <c r="C693" s="19">
        <v>757.0</v>
      </c>
      <c r="D693" s="19" t="s">
        <v>908</v>
      </c>
      <c r="E693" s="19" t="s">
        <v>909</v>
      </c>
      <c r="F693" s="19" t="s">
        <v>44</v>
      </c>
      <c r="G693" s="21">
        <v>72.0</v>
      </c>
      <c r="H693" s="22">
        <v>99.1</v>
      </c>
    </row>
    <row r="694">
      <c r="A694" s="19">
        <v>693.0</v>
      </c>
      <c r="B694" s="19">
        <v>733.0</v>
      </c>
      <c r="C694" s="19">
        <v>672.0</v>
      </c>
      <c r="D694" s="19" t="s">
        <v>910</v>
      </c>
      <c r="E694" s="19" t="s">
        <v>35</v>
      </c>
      <c r="F694" s="19" t="s">
        <v>44</v>
      </c>
      <c r="G694" s="21">
        <v>73.0</v>
      </c>
      <c r="H694" s="22">
        <v>73.8</v>
      </c>
    </row>
    <row r="695">
      <c r="A695" s="19">
        <v>694.0</v>
      </c>
      <c r="B695" s="19">
        <v>591.0</v>
      </c>
      <c r="C695" s="19">
        <v>786.0</v>
      </c>
      <c r="D695" s="19" t="s">
        <v>911</v>
      </c>
      <c r="E695" s="19" t="s">
        <v>711</v>
      </c>
      <c r="F695" s="19" t="s">
        <v>19</v>
      </c>
      <c r="G695" s="21">
        <v>59.0</v>
      </c>
      <c r="H695" s="22">
        <v>79.7</v>
      </c>
    </row>
    <row r="696">
      <c r="A696" s="19">
        <v>695.0</v>
      </c>
      <c r="B696" s="19">
        <v>581.0</v>
      </c>
      <c r="C696" s="19">
        <v>797.0</v>
      </c>
      <c r="D696" s="19" t="s">
        <v>912</v>
      </c>
      <c r="E696" s="19" t="s">
        <v>413</v>
      </c>
      <c r="F696" s="19" t="s">
        <v>23</v>
      </c>
      <c r="G696" s="21">
        <v>52.0</v>
      </c>
      <c r="H696" s="22">
        <v>90.1</v>
      </c>
    </row>
    <row r="697">
      <c r="A697" s="19">
        <v>696.0</v>
      </c>
      <c r="B697" s="19">
        <v>664.0</v>
      </c>
      <c r="C697" s="19">
        <v>691.0</v>
      </c>
      <c r="D697" s="19" t="s">
        <v>913</v>
      </c>
      <c r="E697" s="19" t="s">
        <v>22</v>
      </c>
      <c r="F697" s="19" t="s">
        <v>85</v>
      </c>
      <c r="G697" s="21">
        <v>36.0</v>
      </c>
      <c r="H697" s="22">
        <v>99.1</v>
      </c>
    </row>
    <row r="698">
      <c r="A698" s="19">
        <v>697.0</v>
      </c>
      <c r="B698" s="19">
        <v>722.0</v>
      </c>
      <c r="C698" s="19">
        <v>712.0</v>
      </c>
      <c r="D698" s="19" t="s">
        <v>914</v>
      </c>
      <c r="E698" s="19" t="s">
        <v>175</v>
      </c>
      <c r="F698" s="19" t="s">
        <v>44</v>
      </c>
      <c r="G698" s="21">
        <v>74.0</v>
      </c>
      <c r="H698" s="22">
        <v>79.7</v>
      </c>
    </row>
    <row r="699">
      <c r="A699" s="19">
        <v>698.0</v>
      </c>
      <c r="B699" s="19">
        <v>557.0</v>
      </c>
      <c r="C699" s="19">
        <v>751.0</v>
      </c>
      <c r="D699" s="19" t="s">
        <v>915</v>
      </c>
      <c r="E699" s="19" t="s">
        <v>166</v>
      </c>
      <c r="F699" s="19" t="s">
        <v>19</v>
      </c>
      <c r="G699" s="21">
        <v>60.0</v>
      </c>
      <c r="H699" s="22">
        <v>68.9</v>
      </c>
    </row>
    <row r="700">
      <c r="A700" s="19">
        <v>699.0</v>
      </c>
      <c r="B700" s="19">
        <v>542.0</v>
      </c>
      <c r="C700" s="19">
        <v>775.0</v>
      </c>
      <c r="D700" s="19" t="s">
        <v>916</v>
      </c>
      <c r="E700" s="19" t="s">
        <v>413</v>
      </c>
      <c r="F700" s="19" t="s">
        <v>449</v>
      </c>
      <c r="G700" s="21">
        <v>6.0</v>
      </c>
      <c r="H700" s="22">
        <v>68.9</v>
      </c>
    </row>
    <row r="701">
      <c r="A701" s="19">
        <v>706.0</v>
      </c>
      <c r="B701" s="19">
        <v>589.0</v>
      </c>
      <c r="C701" s="19">
        <v>769.0</v>
      </c>
      <c r="D701" s="19" t="s">
        <v>917</v>
      </c>
      <c r="E701" s="19" t="s">
        <v>321</v>
      </c>
      <c r="F701" s="19" t="s">
        <v>54</v>
      </c>
      <c r="G701" s="21">
        <v>52.0</v>
      </c>
      <c r="H701" s="22">
        <v>76.5</v>
      </c>
    </row>
    <row r="702">
      <c r="A702" s="19">
        <v>700.0</v>
      </c>
      <c r="B702" s="19">
        <v>637.0</v>
      </c>
      <c r="C702" s="19">
        <v>762.0</v>
      </c>
      <c r="D702" s="19" t="s">
        <v>918</v>
      </c>
      <c r="E702" s="19" t="s">
        <v>250</v>
      </c>
      <c r="F702" s="19" t="s">
        <v>15</v>
      </c>
      <c r="G702" s="21">
        <v>32.0</v>
      </c>
      <c r="H702" s="22">
        <v>68.9</v>
      </c>
    </row>
    <row r="703">
      <c r="A703" s="19">
        <v>702.0</v>
      </c>
      <c r="B703" s="19">
        <v>708.0</v>
      </c>
      <c r="C703" s="19">
        <v>725.0</v>
      </c>
      <c r="D703" s="19" t="s">
        <v>919</v>
      </c>
      <c r="E703" s="19" t="s">
        <v>459</v>
      </c>
      <c r="F703" s="19" t="s">
        <v>170</v>
      </c>
      <c r="G703" s="21">
        <v>29.0</v>
      </c>
      <c r="H703" s="22">
        <v>99.1</v>
      </c>
    </row>
    <row r="704">
      <c r="A704" s="19">
        <v>701.0</v>
      </c>
      <c r="B704" s="19">
        <v>740.0</v>
      </c>
      <c r="C704" s="19">
        <v>695.0</v>
      </c>
      <c r="D704" s="19" t="s">
        <v>920</v>
      </c>
      <c r="E704" s="19" t="s">
        <v>227</v>
      </c>
      <c r="F704" s="19" t="s">
        <v>26</v>
      </c>
      <c r="G704" s="21">
        <v>61.0</v>
      </c>
      <c r="H704" s="22">
        <v>90.1</v>
      </c>
    </row>
    <row r="705">
      <c r="A705" s="19">
        <v>703.0</v>
      </c>
      <c r="B705" s="19">
        <v>729.0</v>
      </c>
      <c r="C705" s="19">
        <v>718.0</v>
      </c>
      <c r="D705" s="19" t="s">
        <v>921</v>
      </c>
      <c r="E705" s="19" t="s">
        <v>200</v>
      </c>
      <c r="F705" s="19" t="s">
        <v>38</v>
      </c>
      <c r="G705" s="21">
        <v>50.0</v>
      </c>
      <c r="H705" s="22">
        <v>99.1</v>
      </c>
    </row>
    <row r="706">
      <c r="A706" s="19">
        <v>704.0</v>
      </c>
      <c r="B706" s="19">
        <v>671.0</v>
      </c>
      <c r="C706" s="19">
        <v>733.0</v>
      </c>
      <c r="D706" s="19" t="s">
        <v>922</v>
      </c>
      <c r="E706" s="19" t="s">
        <v>781</v>
      </c>
      <c r="F706" s="19" t="s">
        <v>40</v>
      </c>
      <c r="G706" s="21">
        <v>92.0</v>
      </c>
      <c r="H706" s="22">
        <v>99.1</v>
      </c>
    </row>
    <row r="707">
      <c r="A707" s="19">
        <v>705.0</v>
      </c>
      <c r="B707" s="19">
        <v>793.0</v>
      </c>
      <c r="C707" s="19">
        <v>658.0</v>
      </c>
      <c r="D707" s="19" t="s">
        <v>923</v>
      </c>
      <c r="E707" s="19" t="s">
        <v>312</v>
      </c>
      <c r="F707" s="19" t="s">
        <v>54</v>
      </c>
      <c r="G707" s="21">
        <v>52.0</v>
      </c>
      <c r="H707" s="22">
        <v>68.9</v>
      </c>
    </row>
    <row r="708">
      <c r="A708" s="19">
        <v>707.0</v>
      </c>
      <c r="B708" s="19">
        <v>655.0</v>
      </c>
      <c r="C708" s="19">
        <v>702.0</v>
      </c>
      <c r="D708" s="19" t="s">
        <v>924</v>
      </c>
      <c r="E708" s="19" t="s">
        <v>202</v>
      </c>
      <c r="F708" s="19" t="s">
        <v>26</v>
      </c>
      <c r="G708" s="21">
        <v>62.0</v>
      </c>
      <c r="H708" s="22">
        <v>99.1</v>
      </c>
    </row>
    <row r="709">
      <c r="A709" s="19">
        <v>708.0</v>
      </c>
      <c r="B709" s="19">
        <v>571.0</v>
      </c>
      <c r="C709" s="19">
        <v>793.0</v>
      </c>
      <c r="D709" s="19" t="s">
        <v>925</v>
      </c>
      <c r="E709" s="19" t="s">
        <v>18</v>
      </c>
      <c r="F709" s="19" t="s">
        <v>682</v>
      </c>
      <c r="G709" s="21">
        <v>6.0</v>
      </c>
      <c r="H709" s="22">
        <v>90.1</v>
      </c>
    </row>
    <row r="710">
      <c r="A710" s="19">
        <v>709.0</v>
      </c>
      <c r="B710" s="19">
        <v>709.0</v>
      </c>
      <c r="C710" s="19">
        <v>744.0</v>
      </c>
      <c r="D710" s="19" t="s">
        <v>926</v>
      </c>
      <c r="E710" s="19" t="s">
        <v>344</v>
      </c>
      <c r="F710" s="19" t="s">
        <v>170</v>
      </c>
      <c r="G710" s="21">
        <v>30.0</v>
      </c>
      <c r="H710" s="22">
        <v>76.5</v>
      </c>
    </row>
    <row r="711">
      <c r="A711" s="19">
        <v>711.0</v>
      </c>
      <c r="B711" s="19">
        <v>710.0</v>
      </c>
      <c r="C711" s="19">
        <v>735.0</v>
      </c>
      <c r="D711" s="19" t="s">
        <v>927</v>
      </c>
      <c r="E711" s="19" t="s">
        <v>126</v>
      </c>
      <c r="F711" s="19" t="s">
        <v>19</v>
      </c>
      <c r="G711" s="21">
        <v>62.0</v>
      </c>
      <c r="H711" s="22">
        <v>99.1</v>
      </c>
    </row>
    <row r="712">
      <c r="A712" s="19">
        <v>710.0</v>
      </c>
      <c r="B712" s="19">
        <v>665.0</v>
      </c>
      <c r="C712" s="19">
        <v>705.0</v>
      </c>
      <c r="D712" s="19" t="s">
        <v>928</v>
      </c>
      <c r="E712" s="19" t="s">
        <v>708</v>
      </c>
      <c r="F712" s="19" t="s">
        <v>19</v>
      </c>
      <c r="G712" s="21">
        <v>61.0</v>
      </c>
      <c r="H712" s="22">
        <v>99.1</v>
      </c>
    </row>
    <row r="713">
      <c r="A713" s="19">
        <v>712.0</v>
      </c>
      <c r="B713" s="19">
        <v>578.0</v>
      </c>
      <c r="C713" s="19">
        <v>694.0</v>
      </c>
      <c r="D713" s="19" t="s">
        <v>929</v>
      </c>
      <c r="E713" s="19" t="s">
        <v>930</v>
      </c>
      <c r="F713" s="19" t="s">
        <v>19</v>
      </c>
      <c r="G713" s="21">
        <v>63.0</v>
      </c>
      <c r="H713" s="22">
        <v>76.5</v>
      </c>
    </row>
    <row r="714">
      <c r="A714" s="19">
        <v>713.0</v>
      </c>
      <c r="B714" s="19">
        <v>550.0</v>
      </c>
      <c r="C714" s="19">
        <v>821.0</v>
      </c>
      <c r="D714" s="19" t="s">
        <v>931</v>
      </c>
      <c r="E714" s="19" t="s">
        <v>161</v>
      </c>
      <c r="F714" s="19" t="s">
        <v>170</v>
      </c>
      <c r="G714" s="21">
        <v>31.0</v>
      </c>
      <c r="H714" s="22">
        <v>76.5</v>
      </c>
    </row>
    <row r="715">
      <c r="A715" s="19">
        <v>714.0</v>
      </c>
      <c r="B715" s="19">
        <v>769.0</v>
      </c>
      <c r="C715" s="19">
        <v>453.0</v>
      </c>
      <c r="D715" s="19" t="s">
        <v>932</v>
      </c>
      <c r="E715" s="19" t="s">
        <v>146</v>
      </c>
      <c r="F715" s="19" t="s">
        <v>40</v>
      </c>
      <c r="G715" s="21">
        <v>93.0</v>
      </c>
      <c r="H715" s="22">
        <v>99.1</v>
      </c>
    </row>
    <row r="716">
      <c r="A716" s="19">
        <v>715.0</v>
      </c>
      <c r="B716" s="19">
        <v>407.0</v>
      </c>
      <c r="C716" s="19">
        <v>662.0</v>
      </c>
      <c r="D716" s="19" t="s">
        <v>933</v>
      </c>
      <c r="E716" s="19" t="s">
        <v>501</v>
      </c>
      <c r="F716" s="19" t="s">
        <v>85</v>
      </c>
      <c r="G716" s="21">
        <v>37.0</v>
      </c>
      <c r="H716" s="22">
        <v>76.5</v>
      </c>
    </row>
    <row r="717">
      <c r="A717" s="19">
        <v>716.0</v>
      </c>
      <c r="B717" s="19">
        <v>745.0</v>
      </c>
      <c r="C717" s="19">
        <v>680.0</v>
      </c>
      <c r="D717" s="19" t="s">
        <v>934</v>
      </c>
      <c r="E717" s="19" t="s">
        <v>631</v>
      </c>
      <c r="F717" s="19" t="s">
        <v>442</v>
      </c>
      <c r="G717" s="21">
        <v>3.0</v>
      </c>
      <c r="H717" s="22">
        <v>76.5</v>
      </c>
    </row>
    <row r="718">
      <c r="A718" s="19">
        <v>717.0</v>
      </c>
      <c r="B718" s="19">
        <v>738.0</v>
      </c>
      <c r="C718" s="19">
        <v>734.0</v>
      </c>
      <c r="D718" s="19" t="s">
        <v>935</v>
      </c>
      <c r="E718" s="19" t="s">
        <v>216</v>
      </c>
      <c r="F718" s="19" t="s">
        <v>38</v>
      </c>
      <c r="G718" s="21">
        <v>51.0</v>
      </c>
      <c r="H718" s="22">
        <v>99.1</v>
      </c>
    </row>
    <row r="719">
      <c r="A719" s="19">
        <v>718.0</v>
      </c>
      <c r="B719" s="19">
        <v>628.0</v>
      </c>
      <c r="C719" s="19">
        <v>798.0</v>
      </c>
      <c r="D719" s="19" t="s">
        <v>936</v>
      </c>
      <c r="E719" s="19" t="s">
        <v>561</v>
      </c>
      <c r="F719" s="19" t="s">
        <v>38</v>
      </c>
      <c r="G719" s="21">
        <v>52.0</v>
      </c>
      <c r="H719" s="22">
        <v>99.1</v>
      </c>
    </row>
    <row r="720">
      <c r="A720" s="19">
        <v>719.0</v>
      </c>
      <c r="B720" s="19">
        <v>575.0</v>
      </c>
      <c r="C720" s="19">
        <v>756.0</v>
      </c>
      <c r="D720" s="19" t="s">
        <v>937</v>
      </c>
      <c r="E720" s="19" t="s">
        <v>493</v>
      </c>
      <c r="F720" s="19" t="s">
        <v>26</v>
      </c>
      <c r="G720" s="21">
        <v>63.0</v>
      </c>
      <c r="H720" s="22">
        <v>76.5</v>
      </c>
    </row>
    <row r="721">
      <c r="A721" s="19">
        <v>720.0</v>
      </c>
      <c r="B721" s="19">
        <v>739.0</v>
      </c>
      <c r="C721" s="19">
        <v>755.0</v>
      </c>
      <c r="D721" s="19" t="s">
        <v>938</v>
      </c>
      <c r="E721" s="19" t="s">
        <v>939</v>
      </c>
      <c r="F721" s="19" t="s">
        <v>23</v>
      </c>
      <c r="G721" s="21">
        <v>53.0</v>
      </c>
      <c r="H721" s="22">
        <v>79.7</v>
      </c>
    </row>
    <row r="722">
      <c r="A722" s="19">
        <v>721.0</v>
      </c>
      <c r="B722" s="19">
        <v>523.0</v>
      </c>
      <c r="C722" s="19">
        <v>830.0</v>
      </c>
      <c r="D722" s="19" t="s">
        <v>940</v>
      </c>
      <c r="E722" s="19" t="s">
        <v>941</v>
      </c>
      <c r="F722" s="19" t="s">
        <v>454</v>
      </c>
      <c r="G722" s="21">
        <v>7.0</v>
      </c>
      <c r="H722" s="22">
        <v>68.9</v>
      </c>
    </row>
    <row r="723">
      <c r="A723" s="19">
        <v>722.0</v>
      </c>
      <c r="B723" s="19">
        <v>435.0</v>
      </c>
      <c r="C723" s="19">
        <v>829.0</v>
      </c>
      <c r="D723" s="19" t="s">
        <v>942</v>
      </c>
      <c r="E723" s="19" t="s">
        <v>243</v>
      </c>
      <c r="F723" s="19" t="s">
        <v>85</v>
      </c>
      <c r="G723" s="21">
        <v>38.0</v>
      </c>
      <c r="H723" s="22">
        <v>76.5</v>
      </c>
    </row>
    <row r="724">
      <c r="A724" s="19">
        <v>723.0</v>
      </c>
      <c r="B724" s="19">
        <v>777.0</v>
      </c>
      <c r="C724" s="19">
        <v>681.0</v>
      </c>
      <c r="D724" s="19" t="s">
        <v>943</v>
      </c>
      <c r="E724" s="19" t="s">
        <v>146</v>
      </c>
      <c r="F724" s="19" t="s">
        <v>40</v>
      </c>
      <c r="G724" s="21">
        <v>94.0</v>
      </c>
      <c r="H724" s="22">
        <v>99.1</v>
      </c>
    </row>
    <row r="725">
      <c r="A725" s="19">
        <v>724.0</v>
      </c>
      <c r="B725" s="19">
        <v>633.0</v>
      </c>
      <c r="C725" s="19">
        <v>800.0</v>
      </c>
      <c r="D725" s="19" t="s">
        <v>944</v>
      </c>
      <c r="E725" s="19" t="s">
        <v>945</v>
      </c>
      <c r="F725" s="19" t="s">
        <v>44</v>
      </c>
      <c r="G725" s="21">
        <v>75.0</v>
      </c>
      <c r="H725" s="22">
        <v>99.1</v>
      </c>
    </row>
    <row r="726">
      <c r="A726" s="19">
        <v>725.0</v>
      </c>
      <c r="B726" s="19">
        <v>642.0</v>
      </c>
      <c r="C726" s="19">
        <v>801.0</v>
      </c>
      <c r="D726" s="19" t="s">
        <v>946</v>
      </c>
      <c r="E726" s="19" t="s">
        <v>59</v>
      </c>
      <c r="F726" s="19" t="s">
        <v>32</v>
      </c>
      <c r="G726" s="21">
        <v>72.0</v>
      </c>
      <c r="H726" s="22">
        <v>99.1</v>
      </c>
    </row>
    <row r="727">
      <c r="A727" s="19">
        <v>726.0</v>
      </c>
      <c r="B727" s="19">
        <v>730.0</v>
      </c>
      <c r="C727" s="19">
        <v>748.0</v>
      </c>
      <c r="D727" s="19" t="s">
        <v>947</v>
      </c>
      <c r="E727" s="19" t="s">
        <v>216</v>
      </c>
      <c r="F727" s="19" t="s">
        <v>26</v>
      </c>
      <c r="G727" s="21">
        <v>64.0</v>
      </c>
      <c r="H727" s="22">
        <v>76.5</v>
      </c>
    </row>
    <row r="728">
      <c r="A728" s="19">
        <v>727.0</v>
      </c>
      <c r="B728" s="19">
        <v>639.0</v>
      </c>
      <c r="C728" s="19">
        <v>771.0</v>
      </c>
      <c r="D728" s="19" t="s">
        <v>948</v>
      </c>
      <c r="E728" s="19" t="s">
        <v>166</v>
      </c>
      <c r="F728" s="19" t="s">
        <v>454</v>
      </c>
      <c r="G728" s="21">
        <v>8.0</v>
      </c>
      <c r="H728" s="22">
        <v>76.5</v>
      </c>
    </row>
    <row r="729">
      <c r="A729" s="19">
        <v>728.0</v>
      </c>
      <c r="B729" s="19">
        <v>687.0</v>
      </c>
      <c r="C729" s="19">
        <v>652.0</v>
      </c>
      <c r="D729" s="19" t="s">
        <v>949</v>
      </c>
      <c r="E729" s="19" t="s">
        <v>59</v>
      </c>
      <c r="F729" s="19" t="s">
        <v>15</v>
      </c>
      <c r="G729" s="21">
        <v>33.0</v>
      </c>
      <c r="H729" s="22">
        <v>68.9</v>
      </c>
    </row>
    <row r="730">
      <c r="A730" s="19">
        <v>730.0</v>
      </c>
      <c r="B730" s="19">
        <v>780.0</v>
      </c>
      <c r="C730" s="19">
        <v>703.0</v>
      </c>
      <c r="D730" s="19" t="s">
        <v>950</v>
      </c>
      <c r="E730" s="19" t="s">
        <v>146</v>
      </c>
      <c r="F730" s="19" t="s">
        <v>234</v>
      </c>
      <c r="G730" s="21">
        <v>14.0</v>
      </c>
      <c r="H730" s="22">
        <v>99.1</v>
      </c>
    </row>
    <row r="731">
      <c r="A731" s="19">
        <v>729.0</v>
      </c>
      <c r="B731" s="19">
        <v>787.0</v>
      </c>
      <c r="C731" s="19">
        <v>711.0</v>
      </c>
      <c r="D731" s="19" t="s">
        <v>951</v>
      </c>
      <c r="E731" s="19" t="s">
        <v>47</v>
      </c>
      <c r="F731" s="19" t="s">
        <v>40</v>
      </c>
      <c r="G731" s="21">
        <v>95.0</v>
      </c>
      <c r="H731" s="22">
        <v>99.1</v>
      </c>
    </row>
    <row r="732">
      <c r="A732" s="19">
        <v>731.0</v>
      </c>
      <c r="B732" s="19">
        <v>778.0</v>
      </c>
      <c r="C732" s="19">
        <v>726.0</v>
      </c>
      <c r="D732" s="19" t="s">
        <v>952</v>
      </c>
      <c r="E732" s="19" t="s">
        <v>146</v>
      </c>
      <c r="F732" s="19" t="s">
        <v>38</v>
      </c>
      <c r="G732" s="21">
        <v>53.0</v>
      </c>
      <c r="H732" s="22">
        <v>99.1</v>
      </c>
    </row>
    <row r="733">
      <c r="A733" s="19">
        <v>732.0</v>
      </c>
      <c r="B733" s="19">
        <v>674.0</v>
      </c>
      <c r="C733" s="19">
        <v>778.0</v>
      </c>
      <c r="D733" s="19" t="s">
        <v>953</v>
      </c>
      <c r="E733" s="19" t="s">
        <v>954</v>
      </c>
      <c r="F733" s="19" t="s">
        <v>26</v>
      </c>
      <c r="G733" s="21">
        <v>65.0</v>
      </c>
      <c r="H733" s="22">
        <v>99.1</v>
      </c>
    </row>
    <row r="734">
      <c r="A734" s="19">
        <v>733.0</v>
      </c>
      <c r="B734" s="19">
        <v>767.0</v>
      </c>
      <c r="C734" s="19">
        <v>707.0</v>
      </c>
      <c r="D734" s="19" t="s">
        <v>472</v>
      </c>
      <c r="E734" s="19" t="s">
        <v>146</v>
      </c>
      <c r="F734" s="19" t="s">
        <v>44</v>
      </c>
      <c r="G734" s="21">
        <v>76.0</v>
      </c>
      <c r="H734" s="22">
        <v>99.1</v>
      </c>
    </row>
    <row r="735">
      <c r="A735" s="19">
        <v>734.0</v>
      </c>
      <c r="B735" s="19">
        <v>668.0</v>
      </c>
      <c r="C735" s="19">
        <v>626.0</v>
      </c>
      <c r="D735" s="19" t="s">
        <v>955</v>
      </c>
      <c r="E735" s="19" t="s">
        <v>340</v>
      </c>
      <c r="F735" s="19" t="s">
        <v>23</v>
      </c>
      <c r="G735" s="21">
        <v>54.0</v>
      </c>
      <c r="H735" s="22">
        <v>76.5</v>
      </c>
    </row>
    <row r="736">
      <c r="A736" s="19">
        <v>735.0</v>
      </c>
      <c r="B736" s="19">
        <v>669.0</v>
      </c>
      <c r="C736" s="19">
        <v>524.0</v>
      </c>
      <c r="D736" s="19" t="s">
        <v>956</v>
      </c>
      <c r="E736" s="19" t="s">
        <v>655</v>
      </c>
      <c r="F736" s="19" t="s">
        <v>40</v>
      </c>
      <c r="G736" s="21">
        <v>96.0</v>
      </c>
      <c r="H736" s="22">
        <v>68.9</v>
      </c>
    </row>
    <row r="737">
      <c r="A737" s="19">
        <v>736.0</v>
      </c>
      <c r="B737" s="19">
        <v>717.0</v>
      </c>
      <c r="C737" s="19">
        <v>763.0</v>
      </c>
      <c r="D737" s="19" t="s">
        <v>957</v>
      </c>
      <c r="E737" s="19" t="s">
        <v>334</v>
      </c>
      <c r="F737" s="19" t="s">
        <v>32</v>
      </c>
      <c r="G737" s="21">
        <v>73.0</v>
      </c>
      <c r="H737" s="22">
        <v>76.5</v>
      </c>
    </row>
    <row r="738">
      <c r="A738" s="19">
        <v>737.0</v>
      </c>
      <c r="B738" s="19">
        <v>635.0</v>
      </c>
      <c r="C738" s="19">
        <v>742.0</v>
      </c>
      <c r="D738" s="19" t="s">
        <v>958</v>
      </c>
      <c r="E738" s="19" t="s">
        <v>308</v>
      </c>
      <c r="F738" s="19" t="s">
        <v>40</v>
      </c>
      <c r="G738" s="21">
        <v>97.0</v>
      </c>
      <c r="H738" s="22">
        <v>99.1</v>
      </c>
    </row>
    <row r="739">
      <c r="A739" s="19">
        <v>738.0</v>
      </c>
      <c r="B739" s="19">
        <v>712.0</v>
      </c>
      <c r="C739" s="19">
        <v>687.0</v>
      </c>
      <c r="D739" s="19" t="s">
        <v>959</v>
      </c>
      <c r="E739" s="19" t="s">
        <v>558</v>
      </c>
      <c r="F739" s="19" t="s">
        <v>19</v>
      </c>
      <c r="G739" s="21">
        <v>64.0</v>
      </c>
      <c r="H739" s="22">
        <v>76.5</v>
      </c>
    </row>
    <row r="740">
      <c r="A740" s="19">
        <v>739.0</v>
      </c>
      <c r="B740" s="19">
        <v>617.0</v>
      </c>
      <c r="C740" s="19">
        <v>789.0</v>
      </c>
      <c r="D740" s="19" t="s">
        <v>960</v>
      </c>
      <c r="E740" s="19" t="s">
        <v>413</v>
      </c>
      <c r="F740" s="19" t="s">
        <v>32</v>
      </c>
      <c r="G740" s="21">
        <v>74.0</v>
      </c>
      <c r="H740" s="22">
        <v>99.1</v>
      </c>
    </row>
    <row r="741">
      <c r="A741" s="19">
        <v>740.0</v>
      </c>
      <c r="B741" s="19">
        <v>701.0</v>
      </c>
      <c r="C741" s="19">
        <v>721.0</v>
      </c>
      <c r="D741" s="19" t="s">
        <v>961</v>
      </c>
      <c r="E741" s="19" t="s">
        <v>112</v>
      </c>
      <c r="F741" s="19" t="s">
        <v>19</v>
      </c>
      <c r="G741" s="21">
        <v>65.0</v>
      </c>
      <c r="H741" s="22">
        <v>99.1</v>
      </c>
    </row>
    <row r="742">
      <c r="A742" s="19">
        <v>742.0</v>
      </c>
      <c r="B742" s="19">
        <v>759.0</v>
      </c>
      <c r="C742" s="19">
        <v>727.0</v>
      </c>
      <c r="D742" s="19" t="s">
        <v>962</v>
      </c>
      <c r="E742" s="19" t="s">
        <v>43</v>
      </c>
      <c r="F742" s="19" t="s">
        <v>32</v>
      </c>
      <c r="G742" s="21">
        <v>75.0</v>
      </c>
      <c r="H742" s="22">
        <v>99.1</v>
      </c>
    </row>
    <row r="743">
      <c r="A743" s="19">
        <v>741.0</v>
      </c>
      <c r="B743" s="19">
        <v>813.0</v>
      </c>
      <c r="C743" s="19">
        <v>629.0</v>
      </c>
      <c r="D743" s="19" t="s">
        <v>963</v>
      </c>
      <c r="E743" s="19" t="s">
        <v>310</v>
      </c>
      <c r="F743" s="19" t="s">
        <v>40</v>
      </c>
      <c r="G743" s="21">
        <v>98.0</v>
      </c>
      <c r="H743" s="22">
        <v>76.5</v>
      </c>
    </row>
    <row r="744">
      <c r="A744" s="19">
        <v>743.0</v>
      </c>
      <c r="B744" s="19">
        <v>587.0</v>
      </c>
      <c r="C744" s="19">
        <v>819.0</v>
      </c>
      <c r="D744" s="19" t="s">
        <v>964</v>
      </c>
      <c r="E744" s="19" t="s">
        <v>133</v>
      </c>
      <c r="F744" s="19" t="s">
        <v>44</v>
      </c>
      <c r="G744" s="21">
        <v>77.0</v>
      </c>
      <c r="H744" s="22">
        <v>76.5</v>
      </c>
    </row>
    <row r="745">
      <c r="A745" s="19">
        <v>744.0</v>
      </c>
      <c r="B745" s="19">
        <v>603.0</v>
      </c>
      <c r="C745" s="19">
        <v>812.0</v>
      </c>
      <c r="D745" s="19" t="s">
        <v>965</v>
      </c>
      <c r="E745" s="19" t="s">
        <v>655</v>
      </c>
      <c r="F745" s="19" t="s">
        <v>15</v>
      </c>
      <c r="G745" s="21">
        <v>34.0</v>
      </c>
      <c r="H745" s="22">
        <v>79.7</v>
      </c>
    </row>
    <row r="746">
      <c r="A746" s="19">
        <v>745.0</v>
      </c>
      <c r="B746" s="19">
        <v>735.0</v>
      </c>
      <c r="C746" s="19">
        <v>773.0</v>
      </c>
      <c r="D746" s="19" t="s">
        <v>966</v>
      </c>
      <c r="E746" s="19" t="s">
        <v>161</v>
      </c>
      <c r="F746" s="19" t="s">
        <v>38</v>
      </c>
      <c r="G746" s="21">
        <v>54.0</v>
      </c>
      <c r="H746" s="22">
        <v>99.1</v>
      </c>
    </row>
    <row r="747">
      <c r="A747" s="19">
        <v>746.0</v>
      </c>
      <c r="B747" s="19">
        <v>677.0</v>
      </c>
      <c r="C747" s="19">
        <v>781.0</v>
      </c>
      <c r="D747" s="19" t="s">
        <v>967</v>
      </c>
      <c r="E747" s="19" t="s">
        <v>185</v>
      </c>
      <c r="F747" s="19" t="s">
        <v>26</v>
      </c>
      <c r="G747" s="21">
        <v>66.0</v>
      </c>
      <c r="H747" s="22">
        <v>99.1</v>
      </c>
    </row>
    <row r="748">
      <c r="A748" s="19">
        <v>748.0</v>
      </c>
      <c r="B748" s="19">
        <v>756.0</v>
      </c>
      <c r="C748" s="19">
        <v>761.0</v>
      </c>
      <c r="D748" s="19" t="s">
        <v>968</v>
      </c>
      <c r="E748" s="19" t="s">
        <v>223</v>
      </c>
      <c r="F748" s="19" t="s">
        <v>40</v>
      </c>
      <c r="G748" s="21">
        <v>99.0</v>
      </c>
      <c r="H748" s="22">
        <v>99.1</v>
      </c>
    </row>
    <row r="749">
      <c r="A749" s="19">
        <v>747.0</v>
      </c>
      <c r="B749" s="19">
        <v>598.0</v>
      </c>
      <c r="C749" s="19">
        <v>811.0</v>
      </c>
      <c r="D749" s="19" t="s">
        <v>969</v>
      </c>
      <c r="E749" s="19" t="s">
        <v>50</v>
      </c>
      <c r="F749" s="19" t="s">
        <v>23</v>
      </c>
      <c r="G749" s="21">
        <v>55.0</v>
      </c>
      <c r="H749" s="22">
        <v>79.7</v>
      </c>
    </row>
    <row r="750">
      <c r="A750" s="19">
        <v>784.0</v>
      </c>
      <c r="B750" s="19">
        <v>741.0</v>
      </c>
      <c r="C750" s="19">
        <v>770.0</v>
      </c>
      <c r="D750" s="19" t="s">
        <v>970</v>
      </c>
      <c r="E750" s="19" t="s">
        <v>655</v>
      </c>
      <c r="F750" s="19" t="s">
        <v>19</v>
      </c>
      <c r="G750" s="21">
        <v>68.0</v>
      </c>
      <c r="H750" s="22">
        <v>99.1</v>
      </c>
    </row>
    <row r="751">
      <c r="A751" s="19">
        <v>749.0</v>
      </c>
      <c r="B751" s="19">
        <v>659.0</v>
      </c>
      <c r="C751" s="19">
        <v>804.0</v>
      </c>
      <c r="D751" s="19" t="s">
        <v>971</v>
      </c>
      <c r="E751" s="19" t="s">
        <v>185</v>
      </c>
      <c r="F751" s="19" t="s">
        <v>40</v>
      </c>
      <c r="G751" s="21">
        <v>100.0</v>
      </c>
      <c r="H751" s="22">
        <v>99.1</v>
      </c>
    </row>
    <row r="752">
      <c r="A752" s="19">
        <v>750.0</v>
      </c>
      <c r="B752" s="19">
        <v>645.0</v>
      </c>
      <c r="C752" s="19">
        <v>731.0</v>
      </c>
      <c r="D752" s="19" t="s">
        <v>972</v>
      </c>
      <c r="E752" s="19" t="s">
        <v>185</v>
      </c>
      <c r="F752" s="19" t="s">
        <v>38</v>
      </c>
      <c r="G752" s="21">
        <v>55.0</v>
      </c>
      <c r="H752" s="22">
        <v>99.1</v>
      </c>
    </row>
    <row r="753">
      <c r="A753" s="19">
        <v>751.0</v>
      </c>
      <c r="B753" s="19">
        <v>788.0</v>
      </c>
      <c r="C753" s="19">
        <v>736.0</v>
      </c>
      <c r="D753" s="19" t="s">
        <v>973</v>
      </c>
      <c r="E753" s="19" t="s">
        <v>62</v>
      </c>
      <c r="F753" s="19" t="s">
        <v>44</v>
      </c>
      <c r="G753" s="21">
        <v>78.0</v>
      </c>
      <c r="H753" s="22">
        <v>99.1</v>
      </c>
    </row>
    <row r="754">
      <c r="A754" s="19">
        <v>788.0</v>
      </c>
      <c r="B754" s="19">
        <v>833.0</v>
      </c>
      <c r="C754" s="19">
        <v>713.0</v>
      </c>
      <c r="D754" s="19" t="s">
        <v>974</v>
      </c>
      <c r="E754" s="19" t="s">
        <v>150</v>
      </c>
      <c r="F754" s="19" t="s">
        <v>85</v>
      </c>
      <c r="G754" s="21">
        <v>41.0</v>
      </c>
      <c r="H754" s="22">
        <v>99.1</v>
      </c>
    </row>
    <row r="755">
      <c r="A755" s="19">
        <v>752.0</v>
      </c>
      <c r="B755" s="19">
        <v>666.0</v>
      </c>
      <c r="C755" s="19">
        <v>765.0</v>
      </c>
      <c r="D755" s="19" t="s">
        <v>975</v>
      </c>
      <c r="E755" s="19" t="s">
        <v>976</v>
      </c>
      <c r="F755" s="19" t="s">
        <v>32</v>
      </c>
      <c r="G755" s="21">
        <v>76.0</v>
      </c>
      <c r="H755" s="22">
        <v>99.1</v>
      </c>
    </row>
    <row r="756">
      <c r="A756" s="19">
        <v>785.0</v>
      </c>
      <c r="B756" s="19">
        <v>641.0</v>
      </c>
      <c r="C756" s="19">
        <v>834.0</v>
      </c>
      <c r="D756" s="19" t="s">
        <v>977</v>
      </c>
      <c r="E756" s="19" t="s">
        <v>978</v>
      </c>
      <c r="F756" s="19" t="s">
        <v>85</v>
      </c>
      <c r="G756" s="21">
        <v>40.0</v>
      </c>
      <c r="H756" s="22">
        <v>99.1</v>
      </c>
    </row>
    <row r="757">
      <c r="A757" s="19">
        <v>753.0</v>
      </c>
      <c r="B757" s="19">
        <v>772.0</v>
      </c>
      <c r="C757" s="19">
        <v>683.0</v>
      </c>
      <c r="D757" s="19" t="s">
        <v>979</v>
      </c>
      <c r="E757" s="19" t="s">
        <v>212</v>
      </c>
      <c r="F757" s="19" t="s">
        <v>63</v>
      </c>
      <c r="G757" s="21">
        <v>47.0</v>
      </c>
      <c r="H757" s="22">
        <v>79.7</v>
      </c>
    </row>
    <row r="758">
      <c r="A758" s="19">
        <v>754.0</v>
      </c>
      <c r="B758" s="19">
        <v>799.0</v>
      </c>
      <c r="C758" s="19">
        <v>728.0</v>
      </c>
      <c r="D758" s="19" t="s">
        <v>980</v>
      </c>
      <c r="E758" s="19" t="s">
        <v>631</v>
      </c>
      <c r="F758" s="19" t="s">
        <v>26</v>
      </c>
      <c r="G758" s="21">
        <v>67.0</v>
      </c>
      <c r="H758" s="22">
        <v>90.1</v>
      </c>
    </row>
    <row r="759">
      <c r="A759" s="19">
        <v>756.0</v>
      </c>
      <c r="B759" s="19">
        <v>760.0</v>
      </c>
      <c r="C759" s="19">
        <v>772.0</v>
      </c>
      <c r="D759" s="19" t="s">
        <v>981</v>
      </c>
      <c r="E759" s="19" t="s">
        <v>137</v>
      </c>
      <c r="F759" s="19" t="s">
        <v>26</v>
      </c>
      <c r="G759" s="21">
        <v>68.0</v>
      </c>
      <c r="H759" s="22">
        <v>99.1</v>
      </c>
    </row>
    <row r="760">
      <c r="A760" s="19">
        <v>755.0</v>
      </c>
      <c r="B760" s="19">
        <v>630.0</v>
      </c>
      <c r="C760" s="19">
        <v>809.0</v>
      </c>
      <c r="D760" s="19" t="s">
        <v>982</v>
      </c>
      <c r="E760" s="19" t="s">
        <v>250</v>
      </c>
      <c r="F760" s="19" t="s">
        <v>40</v>
      </c>
      <c r="G760" s="21">
        <v>101.0</v>
      </c>
      <c r="H760" s="22">
        <v>79.7</v>
      </c>
    </row>
    <row r="761">
      <c r="A761" s="19">
        <v>757.0</v>
      </c>
      <c r="B761" s="19">
        <v>672.0</v>
      </c>
      <c r="C761" s="19">
        <v>803.0</v>
      </c>
      <c r="D761" s="19" t="s">
        <v>983</v>
      </c>
      <c r="E761" s="19" t="s">
        <v>212</v>
      </c>
      <c r="F761" s="19" t="s">
        <v>26</v>
      </c>
      <c r="G761" s="21">
        <v>69.0</v>
      </c>
      <c r="H761" s="22">
        <v>99.1</v>
      </c>
    </row>
    <row r="762">
      <c r="A762" s="19">
        <v>758.0</v>
      </c>
      <c r="B762" s="19">
        <v>716.0</v>
      </c>
      <c r="C762" s="19">
        <v>796.0</v>
      </c>
      <c r="D762" s="19" t="s">
        <v>984</v>
      </c>
      <c r="E762" s="19" t="s">
        <v>133</v>
      </c>
      <c r="F762" s="19" t="s">
        <v>26</v>
      </c>
      <c r="G762" s="21">
        <v>70.0</v>
      </c>
      <c r="H762" s="22">
        <v>99.1</v>
      </c>
    </row>
    <row r="763">
      <c r="A763" s="19">
        <v>759.0</v>
      </c>
      <c r="B763" s="19">
        <v>761.0</v>
      </c>
      <c r="C763" s="19">
        <v>753.0</v>
      </c>
      <c r="D763" s="19" t="s">
        <v>985</v>
      </c>
      <c r="E763" s="19" t="s">
        <v>270</v>
      </c>
      <c r="F763" s="19" t="s">
        <v>44</v>
      </c>
      <c r="G763" s="21">
        <v>79.0</v>
      </c>
      <c r="H763" s="22">
        <v>99.1</v>
      </c>
    </row>
    <row r="764">
      <c r="A764" s="19">
        <v>760.0</v>
      </c>
      <c r="B764" s="19">
        <v>650.0</v>
      </c>
      <c r="C764" s="19">
        <v>739.0</v>
      </c>
      <c r="D764" s="19" t="s">
        <v>986</v>
      </c>
      <c r="E764" s="19" t="s">
        <v>907</v>
      </c>
      <c r="F764" s="19" t="s">
        <v>40</v>
      </c>
      <c r="G764" s="21">
        <v>102.0</v>
      </c>
      <c r="H764" s="22">
        <v>99.1</v>
      </c>
    </row>
    <row r="765">
      <c r="A765" s="19">
        <v>761.0</v>
      </c>
      <c r="B765" s="19">
        <v>715.0</v>
      </c>
      <c r="C765" s="19">
        <v>714.0</v>
      </c>
      <c r="D765" s="19" t="s">
        <v>987</v>
      </c>
      <c r="E765" s="19" t="s">
        <v>50</v>
      </c>
      <c r="F765" s="19" t="s">
        <v>170</v>
      </c>
      <c r="G765" s="21">
        <v>32.0</v>
      </c>
      <c r="H765" s="22">
        <v>99.1</v>
      </c>
    </row>
    <row r="766">
      <c r="A766" s="19">
        <v>762.0</v>
      </c>
      <c r="B766" s="19">
        <v>750.0</v>
      </c>
      <c r="C766" s="19">
        <v>722.0</v>
      </c>
      <c r="D766" s="19" t="s">
        <v>988</v>
      </c>
      <c r="E766" s="19" t="s">
        <v>792</v>
      </c>
      <c r="F766" s="19" t="s">
        <v>170</v>
      </c>
      <c r="G766" s="21">
        <v>33.0</v>
      </c>
      <c r="H766" s="22">
        <v>99.1</v>
      </c>
    </row>
    <row r="767">
      <c r="A767" s="19">
        <v>763.0</v>
      </c>
      <c r="B767" s="19">
        <v>662.0</v>
      </c>
      <c r="C767" s="19">
        <v>806.0</v>
      </c>
      <c r="D767" s="19" t="s">
        <v>989</v>
      </c>
      <c r="E767" s="19" t="s">
        <v>398</v>
      </c>
      <c r="F767" s="19" t="s">
        <v>40</v>
      </c>
      <c r="G767" s="21">
        <v>103.0</v>
      </c>
      <c r="H767" s="22">
        <v>99.1</v>
      </c>
    </row>
    <row r="768">
      <c r="A768" s="19">
        <v>765.0</v>
      </c>
      <c r="B768" s="19">
        <v>817.0</v>
      </c>
      <c r="C768" s="19">
        <v>730.0</v>
      </c>
      <c r="D768" s="19" t="s">
        <v>990</v>
      </c>
      <c r="E768" s="19" t="s">
        <v>259</v>
      </c>
      <c r="F768" s="19" t="s">
        <v>44</v>
      </c>
      <c r="G768" s="21">
        <v>80.0</v>
      </c>
      <c r="H768" s="22">
        <v>99.1</v>
      </c>
    </row>
    <row r="769">
      <c r="A769" s="19">
        <v>766.0</v>
      </c>
      <c r="B769" s="19">
        <v>809.0</v>
      </c>
      <c r="C769" s="19">
        <v>697.0</v>
      </c>
      <c r="D769" s="19" t="s">
        <v>991</v>
      </c>
      <c r="E769" s="19" t="s">
        <v>144</v>
      </c>
      <c r="F769" s="19" t="s">
        <v>44</v>
      </c>
      <c r="G769" s="21">
        <v>81.0</v>
      </c>
      <c r="H769" s="22">
        <v>76.5</v>
      </c>
    </row>
    <row r="770">
      <c r="A770" s="19">
        <v>764.0</v>
      </c>
      <c r="B770" s="19">
        <v>560.0</v>
      </c>
      <c r="C770" s="19">
        <v>835.0</v>
      </c>
      <c r="D770" s="19" t="s">
        <v>992</v>
      </c>
      <c r="E770" s="19" t="s">
        <v>130</v>
      </c>
      <c r="F770" s="19" t="s">
        <v>170</v>
      </c>
      <c r="G770" s="21">
        <v>34.0</v>
      </c>
      <c r="H770" s="22">
        <v>68.9</v>
      </c>
    </row>
    <row r="771">
      <c r="A771" s="19">
        <v>767.0</v>
      </c>
      <c r="B771" s="19">
        <v>806.0</v>
      </c>
      <c r="C771" s="19">
        <v>724.0</v>
      </c>
      <c r="D771" s="19" t="s">
        <v>993</v>
      </c>
      <c r="E771" s="19" t="s">
        <v>73</v>
      </c>
      <c r="F771" s="19" t="s">
        <v>63</v>
      </c>
      <c r="G771" s="21">
        <v>48.0</v>
      </c>
      <c r="H771" s="22">
        <v>99.1</v>
      </c>
    </row>
    <row r="772">
      <c r="A772" s="19">
        <v>768.0</v>
      </c>
      <c r="B772" s="19">
        <v>754.0</v>
      </c>
      <c r="C772" s="19">
        <v>777.0</v>
      </c>
      <c r="D772" s="19" t="s">
        <v>994</v>
      </c>
      <c r="E772" s="19" t="s">
        <v>995</v>
      </c>
      <c r="F772" s="19" t="s">
        <v>54</v>
      </c>
      <c r="G772" s="21">
        <v>53.0</v>
      </c>
      <c r="H772" s="22">
        <v>99.1</v>
      </c>
    </row>
    <row r="773">
      <c r="A773" s="19">
        <v>769.0</v>
      </c>
      <c r="B773" s="19">
        <v>647.0</v>
      </c>
      <c r="C773" s="19">
        <v>815.0</v>
      </c>
      <c r="D773" s="19" t="s">
        <v>996</v>
      </c>
      <c r="E773" s="19" t="s">
        <v>997</v>
      </c>
      <c r="F773" s="19" t="s">
        <v>23</v>
      </c>
      <c r="G773" s="21">
        <v>56.0</v>
      </c>
      <c r="H773" s="22">
        <v>99.1</v>
      </c>
    </row>
    <row r="774">
      <c r="A774" s="19">
        <v>770.0</v>
      </c>
      <c r="B774" s="19">
        <v>721.0</v>
      </c>
      <c r="C774" s="19">
        <v>799.0</v>
      </c>
      <c r="D774" s="19" t="s">
        <v>998</v>
      </c>
      <c r="E774" s="19" t="s">
        <v>175</v>
      </c>
      <c r="F774" s="19" t="s">
        <v>54</v>
      </c>
      <c r="G774" s="21">
        <v>54.0</v>
      </c>
      <c r="H774" s="22">
        <v>99.1</v>
      </c>
    </row>
    <row r="775">
      <c r="A775" s="19">
        <v>771.0</v>
      </c>
      <c r="B775" s="19">
        <v>626.0</v>
      </c>
      <c r="C775" s="19">
        <v>826.0</v>
      </c>
      <c r="D775" s="19" t="s">
        <v>999</v>
      </c>
      <c r="E775" s="19" t="s">
        <v>1000</v>
      </c>
      <c r="F775" s="19" t="s">
        <v>40</v>
      </c>
      <c r="G775" s="21">
        <v>104.0</v>
      </c>
      <c r="H775" s="22">
        <v>99.1</v>
      </c>
    </row>
    <row r="776">
      <c r="A776" s="19">
        <v>772.0</v>
      </c>
      <c r="B776" s="19">
        <v>649.0</v>
      </c>
      <c r="C776" s="19">
        <v>813.0</v>
      </c>
      <c r="D776" s="19" t="s">
        <v>1001</v>
      </c>
      <c r="E776" s="19" t="s">
        <v>370</v>
      </c>
      <c r="F776" s="19" t="s">
        <v>44</v>
      </c>
      <c r="G776" s="21">
        <v>82.0</v>
      </c>
      <c r="H776" s="22">
        <v>99.1</v>
      </c>
    </row>
    <row r="777">
      <c r="A777" s="19">
        <v>773.0</v>
      </c>
      <c r="B777" s="19">
        <v>652.0</v>
      </c>
      <c r="C777" s="19">
        <v>814.0</v>
      </c>
      <c r="D777" s="19" t="s">
        <v>1002</v>
      </c>
      <c r="E777" s="19" t="s">
        <v>418</v>
      </c>
      <c r="F777" s="19" t="s">
        <v>32</v>
      </c>
      <c r="G777" s="21">
        <v>77.0</v>
      </c>
      <c r="H777" s="22">
        <v>99.1</v>
      </c>
    </row>
    <row r="778">
      <c r="A778" s="19">
        <v>774.0</v>
      </c>
      <c r="B778" s="19">
        <v>763.0</v>
      </c>
      <c r="C778" s="19">
        <v>791.0</v>
      </c>
      <c r="D778" s="19" t="s">
        <v>1003</v>
      </c>
      <c r="E778" s="19" t="s">
        <v>588</v>
      </c>
      <c r="F778" s="19" t="s">
        <v>54</v>
      </c>
      <c r="G778" s="21">
        <v>55.0</v>
      </c>
      <c r="H778" s="22">
        <v>99.1</v>
      </c>
    </row>
    <row r="779">
      <c r="A779" s="19">
        <v>775.0</v>
      </c>
      <c r="B779" s="19">
        <v>812.0</v>
      </c>
      <c r="C779" s="19">
        <v>677.0</v>
      </c>
      <c r="D779" s="19" t="s">
        <v>1004</v>
      </c>
      <c r="E779" s="19" t="s">
        <v>493</v>
      </c>
      <c r="F779" s="19" t="s">
        <v>38</v>
      </c>
      <c r="G779" s="21">
        <v>56.0</v>
      </c>
      <c r="H779" s="22">
        <v>99.1</v>
      </c>
    </row>
    <row r="780">
      <c r="A780" s="19">
        <v>776.0</v>
      </c>
      <c r="B780" s="19">
        <v>619.0</v>
      </c>
      <c r="C780" s="19">
        <v>822.0</v>
      </c>
      <c r="D780" s="19" t="s">
        <v>1005</v>
      </c>
      <c r="E780" s="19" t="s">
        <v>1006</v>
      </c>
      <c r="F780" s="19" t="s">
        <v>54</v>
      </c>
      <c r="G780" s="21">
        <v>56.0</v>
      </c>
      <c r="H780" s="22">
        <v>99.1</v>
      </c>
    </row>
    <row r="781">
      <c r="A781" s="19">
        <v>777.0</v>
      </c>
      <c r="B781" s="19">
        <v>755.0</v>
      </c>
      <c r="C781" s="19">
        <v>774.0</v>
      </c>
      <c r="D781" s="19" t="s">
        <v>1007</v>
      </c>
      <c r="E781" s="19" t="s">
        <v>142</v>
      </c>
      <c r="F781" s="19" t="s">
        <v>19</v>
      </c>
      <c r="G781" s="21">
        <v>66.0</v>
      </c>
      <c r="H781" s="22">
        <v>99.1</v>
      </c>
    </row>
    <row r="782">
      <c r="A782" s="19">
        <v>779.0</v>
      </c>
      <c r="B782" s="19">
        <v>832.0</v>
      </c>
      <c r="C782" s="19">
        <v>720.0</v>
      </c>
      <c r="D782" s="19" t="s">
        <v>1008</v>
      </c>
      <c r="E782" s="19" t="s">
        <v>308</v>
      </c>
      <c r="F782" s="19" t="s">
        <v>85</v>
      </c>
      <c r="G782" s="21">
        <v>39.0</v>
      </c>
      <c r="H782" s="22">
        <v>99.1</v>
      </c>
    </row>
    <row r="783">
      <c r="A783" s="19">
        <v>780.0</v>
      </c>
      <c r="B783" s="19">
        <v>824.0</v>
      </c>
      <c r="C783" s="19">
        <v>675.0</v>
      </c>
      <c r="D783" s="19" t="s">
        <v>1009</v>
      </c>
      <c r="E783" s="19" t="s">
        <v>622</v>
      </c>
      <c r="F783" s="19" t="s">
        <v>40</v>
      </c>
      <c r="G783" s="21">
        <v>106.0</v>
      </c>
      <c r="H783" s="22">
        <v>99.1</v>
      </c>
    </row>
    <row r="784">
      <c r="A784" s="19">
        <v>781.0</v>
      </c>
      <c r="B784" s="19">
        <v>564.0</v>
      </c>
      <c r="C784" s="19">
        <v>820.0</v>
      </c>
      <c r="D784" s="19" t="s">
        <v>1010</v>
      </c>
      <c r="E784" s="19" t="s">
        <v>212</v>
      </c>
      <c r="F784" s="19" t="s">
        <v>44</v>
      </c>
      <c r="G784" s="21">
        <v>83.0</v>
      </c>
      <c r="H784" s="22">
        <v>76.5</v>
      </c>
    </row>
    <row r="785">
      <c r="A785" s="19">
        <v>782.0</v>
      </c>
      <c r="B785" s="19">
        <v>749.0</v>
      </c>
      <c r="C785" s="19">
        <v>708.0</v>
      </c>
      <c r="D785" s="19" t="s">
        <v>1011</v>
      </c>
      <c r="E785" s="19" t="s">
        <v>223</v>
      </c>
      <c r="F785" s="19" t="s">
        <v>26</v>
      </c>
      <c r="G785" s="21">
        <v>71.0</v>
      </c>
      <c r="H785" s="22">
        <v>99.1</v>
      </c>
    </row>
    <row r="786">
      <c r="A786" s="19">
        <v>783.0</v>
      </c>
      <c r="B786" s="19">
        <v>758.0</v>
      </c>
      <c r="C786" s="19">
        <v>689.0</v>
      </c>
      <c r="D786" s="19" t="s">
        <v>1012</v>
      </c>
      <c r="E786" s="19" t="s">
        <v>533</v>
      </c>
      <c r="F786" s="19" t="s">
        <v>19</v>
      </c>
      <c r="G786" s="21">
        <v>67.0</v>
      </c>
      <c r="H786" s="22">
        <v>90.1</v>
      </c>
    </row>
    <row r="787">
      <c r="A787" s="19">
        <v>786.0</v>
      </c>
      <c r="B787" s="19">
        <v>781.0</v>
      </c>
      <c r="C787" s="19">
        <v>795.0</v>
      </c>
      <c r="D787" s="19" t="s">
        <v>1013</v>
      </c>
      <c r="E787" s="19" t="s">
        <v>299</v>
      </c>
      <c r="F787" s="19" t="s">
        <v>26</v>
      </c>
      <c r="G787" s="21">
        <v>72.0</v>
      </c>
      <c r="H787" s="22">
        <v>99.1</v>
      </c>
    </row>
    <row r="788">
      <c r="A788" s="19">
        <v>787.0</v>
      </c>
      <c r="B788" s="19">
        <v>753.0</v>
      </c>
      <c r="C788" s="19">
        <v>767.0</v>
      </c>
      <c r="D788" s="19" t="s">
        <v>1014</v>
      </c>
      <c r="E788" s="19" t="s">
        <v>308</v>
      </c>
      <c r="F788" s="19" t="s">
        <v>40</v>
      </c>
      <c r="G788" s="21">
        <v>107.0</v>
      </c>
      <c r="H788" s="22">
        <v>99.1</v>
      </c>
    </row>
    <row r="789">
      <c r="A789" s="19">
        <v>793.0</v>
      </c>
      <c r="B789" s="19">
        <v>808.0</v>
      </c>
      <c r="C789" s="19">
        <v>746.0</v>
      </c>
      <c r="D789" s="19" t="s">
        <v>1015</v>
      </c>
      <c r="E789" s="19" t="s">
        <v>493</v>
      </c>
      <c r="F789" s="19" t="s">
        <v>63</v>
      </c>
      <c r="G789" s="21">
        <v>49.0</v>
      </c>
      <c r="H789" s="22">
        <v>99.1</v>
      </c>
    </row>
    <row r="790">
      <c r="A790" s="19">
        <v>789.0</v>
      </c>
      <c r="B790" s="19">
        <v>791.0</v>
      </c>
      <c r="C790" s="19">
        <v>780.0</v>
      </c>
      <c r="D790" s="19" t="s">
        <v>1016</v>
      </c>
      <c r="E790" s="19" t="s">
        <v>1017</v>
      </c>
      <c r="F790" s="19" t="s">
        <v>40</v>
      </c>
      <c r="G790" s="21">
        <v>108.0</v>
      </c>
      <c r="H790" s="22">
        <v>99.1</v>
      </c>
    </row>
    <row r="791">
      <c r="A791" s="19">
        <v>790.0</v>
      </c>
      <c r="B791" s="19">
        <v>790.0</v>
      </c>
      <c r="C791" s="19">
        <v>787.0</v>
      </c>
      <c r="D791" s="19" t="s">
        <v>1018</v>
      </c>
      <c r="E791" s="19" t="s">
        <v>558</v>
      </c>
      <c r="F791" s="19" t="s">
        <v>32</v>
      </c>
      <c r="G791" s="21">
        <v>78.0</v>
      </c>
      <c r="H791" s="22">
        <v>99.1</v>
      </c>
    </row>
    <row r="792">
      <c r="A792" s="19">
        <v>791.0</v>
      </c>
      <c r="B792" s="19">
        <v>660.0</v>
      </c>
      <c r="C792" s="19">
        <v>825.0</v>
      </c>
      <c r="D792" s="19" t="s">
        <v>1019</v>
      </c>
      <c r="E792" s="19" t="s">
        <v>310</v>
      </c>
      <c r="F792" s="19" t="s">
        <v>40</v>
      </c>
      <c r="G792" s="21">
        <v>109.0</v>
      </c>
      <c r="H792" s="22">
        <v>99.1</v>
      </c>
    </row>
    <row r="793">
      <c r="A793" s="19">
        <v>792.0</v>
      </c>
      <c r="B793" s="19">
        <v>679.0</v>
      </c>
      <c r="C793" s="19">
        <v>785.0</v>
      </c>
      <c r="D793" s="19" t="s">
        <v>1020</v>
      </c>
      <c r="E793" s="19" t="s">
        <v>187</v>
      </c>
      <c r="F793" s="19" t="s">
        <v>23</v>
      </c>
      <c r="G793" s="21">
        <v>57.0</v>
      </c>
      <c r="H793" s="22">
        <v>99.1</v>
      </c>
    </row>
    <row r="794">
      <c r="A794" s="19">
        <v>795.0</v>
      </c>
      <c r="B794" s="19">
        <v>658.0</v>
      </c>
      <c r="C794" s="19">
        <v>827.0</v>
      </c>
      <c r="D794" s="19" t="s">
        <v>1021</v>
      </c>
      <c r="E794" s="19" t="s">
        <v>250</v>
      </c>
      <c r="F794" s="19" t="s">
        <v>44</v>
      </c>
      <c r="G794" s="21">
        <v>84.0</v>
      </c>
      <c r="H794" s="22">
        <v>99.1</v>
      </c>
    </row>
    <row r="795">
      <c r="A795" s="19">
        <v>796.0</v>
      </c>
      <c r="B795" s="19">
        <v>776.0</v>
      </c>
      <c r="C795" s="19">
        <v>779.0</v>
      </c>
      <c r="D795" s="19" t="s">
        <v>1022</v>
      </c>
      <c r="E795" s="19" t="s">
        <v>1023</v>
      </c>
      <c r="F795" s="19" t="s">
        <v>40</v>
      </c>
      <c r="G795" s="21">
        <v>110.0</v>
      </c>
      <c r="H795" s="22">
        <v>99.1</v>
      </c>
    </row>
    <row r="796">
      <c r="A796" s="19">
        <v>797.0</v>
      </c>
      <c r="B796" s="19">
        <v>779.0</v>
      </c>
      <c r="C796" s="19">
        <v>776.0</v>
      </c>
      <c r="D796" s="19" t="s">
        <v>1024</v>
      </c>
      <c r="E796" s="19" t="s">
        <v>82</v>
      </c>
      <c r="F796" s="19" t="s">
        <v>44</v>
      </c>
      <c r="G796" s="21">
        <v>85.0</v>
      </c>
      <c r="H796" s="22">
        <v>99.1</v>
      </c>
    </row>
    <row r="797">
      <c r="A797" s="19">
        <v>799.0</v>
      </c>
      <c r="B797" s="19">
        <v>673.0</v>
      </c>
      <c r="C797" s="19">
        <v>828.0</v>
      </c>
      <c r="D797" s="19" t="s">
        <v>1025</v>
      </c>
      <c r="E797" s="19" t="s">
        <v>1026</v>
      </c>
      <c r="F797" s="19" t="s">
        <v>40</v>
      </c>
      <c r="G797" s="21">
        <v>111.0</v>
      </c>
      <c r="H797" s="22">
        <v>99.1</v>
      </c>
    </row>
    <row r="798">
      <c r="A798" s="19">
        <v>800.0</v>
      </c>
      <c r="B798" s="19">
        <v>826.0</v>
      </c>
      <c r="C798" s="19">
        <v>709.0</v>
      </c>
      <c r="D798" s="19" t="s">
        <v>1027</v>
      </c>
      <c r="E798" s="19" t="s">
        <v>59</v>
      </c>
      <c r="F798" s="19" t="s">
        <v>44</v>
      </c>
      <c r="G798" s="21">
        <v>86.0</v>
      </c>
      <c r="H798" s="22">
        <v>99.1</v>
      </c>
    </row>
    <row r="799">
      <c r="A799" s="19">
        <v>802.0</v>
      </c>
      <c r="B799" s="19">
        <v>762.0</v>
      </c>
      <c r="C799" s="19">
        <v>752.0</v>
      </c>
      <c r="D799" s="19" t="s">
        <v>1028</v>
      </c>
      <c r="E799" s="19" t="s">
        <v>663</v>
      </c>
      <c r="F799" s="19" t="s">
        <v>32</v>
      </c>
      <c r="G799" s="21">
        <v>79.0</v>
      </c>
      <c r="H799" s="22">
        <v>99.1</v>
      </c>
    </row>
    <row r="800">
      <c r="A800" s="19">
        <v>803.0</v>
      </c>
      <c r="B800" s="19">
        <v>831.0</v>
      </c>
      <c r="C800" s="19">
        <v>741.0</v>
      </c>
      <c r="D800" s="19" t="s">
        <v>1029</v>
      </c>
      <c r="E800" s="19" t="s">
        <v>144</v>
      </c>
      <c r="F800" s="19" t="s">
        <v>26</v>
      </c>
      <c r="G800" s="21">
        <v>73.0</v>
      </c>
      <c r="H800" s="22">
        <v>76.5</v>
      </c>
    </row>
    <row r="801">
      <c r="A801" s="19">
        <v>804.0</v>
      </c>
      <c r="B801" s="19">
        <v>773.0</v>
      </c>
      <c r="C801" s="19">
        <v>782.0</v>
      </c>
      <c r="D801" s="19" t="s">
        <v>1030</v>
      </c>
      <c r="E801" s="19" t="s">
        <v>128</v>
      </c>
      <c r="F801" s="19" t="s">
        <v>91</v>
      </c>
      <c r="G801" s="21">
        <v>20.0</v>
      </c>
      <c r="H801" s="22">
        <v>99.1</v>
      </c>
    </row>
    <row r="802">
      <c r="A802" s="19">
        <v>806.0</v>
      </c>
      <c r="B802" s="19">
        <v>786.0</v>
      </c>
      <c r="C802" s="19">
        <v>686.0</v>
      </c>
      <c r="D802" s="19" t="s">
        <v>1031</v>
      </c>
      <c r="E802" s="19" t="s">
        <v>945</v>
      </c>
      <c r="F802" s="19" t="s">
        <v>40</v>
      </c>
      <c r="G802" s="21">
        <v>112.0</v>
      </c>
      <c r="H802" s="22">
        <v>99.1</v>
      </c>
    </row>
    <row r="803">
      <c r="A803" s="19">
        <v>807.0</v>
      </c>
      <c r="B803" s="19">
        <v>814.0</v>
      </c>
      <c r="C803" s="19">
        <v>760.0</v>
      </c>
      <c r="D803" s="19" t="s">
        <v>1032</v>
      </c>
      <c r="E803" s="19" t="s">
        <v>413</v>
      </c>
      <c r="F803" s="19" t="s">
        <v>85</v>
      </c>
      <c r="G803" s="21">
        <v>43.0</v>
      </c>
      <c r="H803" s="22">
        <v>76.5</v>
      </c>
    </row>
    <row r="804">
      <c r="A804" s="19">
        <v>809.0</v>
      </c>
      <c r="B804" s="19">
        <v>681.0</v>
      </c>
      <c r="C804" s="19">
        <v>833.0</v>
      </c>
      <c r="D804" s="19" t="s">
        <v>1033</v>
      </c>
      <c r="E804" s="19" t="s">
        <v>646</v>
      </c>
      <c r="F804" s="19" t="s">
        <v>40</v>
      </c>
      <c r="G804" s="21">
        <v>113.0</v>
      </c>
      <c r="H804" s="22">
        <v>99.1</v>
      </c>
    </row>
    <row r="805">
      <c r="A805" s="19">
        <v>810.0</v>
      </c>
      <c r="B805" s="19">
        <v>692.0</v>
      </c>
      <c r="C805" s="19">
        <v>824.0</v>
      </c>
      <c r="D805" s="19" t="s">
        <v>1034</v>
      </c>
      <c r="E805" s="19" t="s">
        <v>344</v>
      </c>
      <c r="F805" s="19" t="s">
        <v>40</v>
      </c>
      <c r="G805" s="21">
        <v>114.0</v>
      </c>
      <c r="H805" s="22">
        <v>99.1</v>
      </c>
    </row>
    <row r="806">
      <c r="A806" s="19">
        <v>813.0</v>
      </c>
      <c r="B806" s="19">
        <v>823.0</v>
      </c>
      <c r="C806" s="19">
        <v>706.0</v>
      </c>
      <c r="D806" s="19" t="s">
        <v>1035</v>
      </c>
      <c r="E806" s="19" t="s">
        <v>175</v>
      </c>
      <c r="F806" s="19" t="s">
        <v>23</v>
      </c>
      <c r="G806" s="21">
        <v>59.0</v>
      </c>
      <c r="H806" s="22">
        <v>99.1</v>
      </c>
    </row>
    <row r="807">
      <c r="A807" s="19">
        <v>778.0</v>
      </c>
      <c r="B807" s="19">
        <v>731.0</v>
      </c>
      <c r="C807" s="19">
        <v>568.0</v>
      </c>
      <c r="D807" s="19" t="s">
        <v>1036</v>
      </c>
      <c r="E807" s="19" t="s">
        <v>334</v>
      </c>
      <c r="F807" s="19" t="s">
        <v>40</v>
      </c>
      <c r="G807" s="21">
        <v>105.0</v>
      </c>
      <c r="H807" s="22">
        <v>99.1</v>
      </c>
    </row>
    <row r="808">
      <c r="A808" s="19">
        <v>798.0</v>
      </c>
      <c r="B808" s="19">
        <v>702.0</v>
      </c>
      <c r="C808" s="19">
        <v>818.0</v>
      </c>
      <c r="D808" s="19" t="s">
        <v>1037</v>
      </c>
      <c r="E808" s="19" t="s">
        <v>82</v>
      </c>
      <c r="F808" s="19" t="s">
        <v>85</v>
      </c>
      <c r="G808" s="21">
        <v>42.0</v>
      </c>
      <c r="H808" s="22">
        <v>99.1</v>
      </c>
    </row>
    <row r="809">
      <c r="A809" s="19">
        <v>817.0</v>
      </c>
      <c r="B809" s="19">
        <v>757.0</v>
      </c>
      <c r="C809" s="19">
        <v>802.0</v>
      </c>
      <c r="D809" s="19" t="s">
        <v>1038</v>
      </c>
      <c r="E809" s="19" t="s">
        <v>119</v>
      </c>
      <c r="F809" s="19" t="s">
        <v>40</v>
      </c>
      <c r="G809" s="21">
        <v>117.0</v>
      </c>
      <c r="H809" s="22">
        <v>76.5</v>
      </c>
    </row>
    <row r="810">
      <c r="A810" s="19">
        <v>794.0</v>
      </c>
      <c r="B810" s="19">
        <v>771.0</v>
      </c>
      <c r="C810" s="19">
        <v>750.0</v>
      </c>
      <c r="D810" s="19" t="s">
        <v>1039</v>
      </c>
      <c r="E810" s="19" t="s">
        <v>558</v>
      </c>
      <c r="F810" s="19" t="s">
        <v>38</v>
      </c>
      <c r="G810" s="21">
        <v>57.0</v>
      </c>
      <c r="H810" s="22">
        <v>99.1</v>
      </c>
    </row>
    <row r="811">
      <c r="A811" s="19">
        <v>801.0</v>
      </c>
      <c r="B811" s="19">
        <v>794.0</v>
      </c>
      <c r="C811" s="19">
        <v>758.0</v>
      </c>
      <c r="D811" s="19" t="s">
        <v>1040</v>
      </c>
      <c r="E811" s="19" t="s">
        <v>185</v>
      </c>
      <c r="F811" s="19" t="s">
        <v>54</v>
      </c>
      <c r="G811" s="21">
        <v>57.0</v>
      </c>
      <c r="H811" s="22">
        <v>76.5</v>
      </c>
    </row>
    <row r="812">
      <c r="A812" s="19">
        <v>820.0</v>
      </c>
      <c r="B812" s="19">
        <v>792.0</v>
      </c>
      <c r="C812" s="19">
        <v>835.0</v>
      </c>
      <c r="D812" s="19" t="s">
        <v>1041</v>
      </c>
      <c r="E812" s="19" t="s">
        <v>22</v>
      </c>
      <c r="F812" s="19" t="s">
        <v>32</v>
      </c>
      <c r="G812" s="21">
        <v>82.0</v>
      </c>
      <c r="H812" s="22">
        <v>99.1</v>
      </c>
    </row>
    <row r="813">
      <c r="A813" s="19">
        <v>808.0</v>
      </c>
      <c r="B813" s="19">
        <v>746.0</v>
      </c>
      <c r="C813" s="19">
        <v>817.0</v>
      </c>
      <c r="D813" s="19" t="s">
        <v>1042</v>
      </c>
      <c r="E813" s="19" t="s">
        <v>101</v>
      </c>
      <c r="F813" s="19" t="s">
        <v>32</v>
      </c>
      <c r="G813" s="21">
        <v>80.0</v>
      </c>
      <c r="H813" s="22">
        <v>99.1</v>
      </c>
    </row>
    <row r="814">
      <c r="A814" s="19">
        <v>811.0</v>
      </c>
      <c r="B814" s="19">
        <v>748.0</v>
      </c>
      <c r="C814" s="19">
        <v>831.0</v>
      </c>
      <c r="D814" s="19" t="s">
        <v>1043</v>
      </c>
      <c r="E814" s="19" t="s">
        <v>161</v>
      </c>
      <c r="F814" s="19" t="s">
        <v>32</v>
      </c>
      <c r="G814" s="21">
        <v>81.0</v>
      </c>
      <c r="H814" s="22">
        <v>99.1</v>
      </c>
    </row>
    <row r="815">
      <c r="A815" s="19">
        <v>805.0</v>
      </c>
      <c r="B815" s="19">
        <v>803.0</v>
      </c>
      <c r="C815" s="19">
        <v>612.0</v>
      </c>
      <c r="D815" s="19" t="s">
        <v>1044</v>
      </c>
      <c r="E815" s="19" t="s">
        <v>168</v>
      </c>
      <c r="F815" s="19" t="s">
        <v>23</v>
      </c>
      <c r="G815" s="21">
        <v>58.0</v>
      </c>
      <c r="H815" s="22">
        <v>70.2</v>
      </c>
    </row>
    <row r="816">
      <c r="A816" s="19">
        <v>812.0</v>
      </c>
      <c r="B816" s="19">
        <v>810.0</v>
      </c>
      <c r="C816" s="19">
        <v>749.0</v>
      </c>
      <c r="D816" s="19" t="s">
        <v>1045</v>
      </c>
      <c r="E816" s="19" t="s">
        <v>82</v>
      </c>
      <c r="F816" s="19" t="s">
        <v>40</v>
      </c>
      <c r="G816" s="21">
        <v>115.0</v>
      </c>
      <c r="H816" s="22">
        <v>99.1</v>
      </c>
    </row>
    <row r="817">
      <c r="A817" s="19">
        <v>814.0</v>
      </c>
      <c r="B817" s="19">
        <v>804.0</v>
      </c>
      <c r="C817" s="19">
        <v>807.0</v>
      </c>
      <c r="D817" s="19" t="s">
        <v>1046</v>
      </c>
      <c r="E817" s="19" t="s">
        <v>259</v>
      </c>
      <c r="F817" s="19" t="s">
        <v>19</v>
      </c>
      <c r="G817" s="21">
        <v>69.0</v>
      </c>
      <c r="H817" s="22">
        <v>76.5</v>
      </c>
    </row>
    <row r="818">
      <c r="A818" s="19">
        <v>819.0</v>
      </c>
      <c r="B818" s="19">
        <v>789.0</v>
      </c>
      <c r="C818" s="19">
        <v>835.0</v>
      </c>
      <c r="D818" s="19" t="s">
        <v>1047</v>
      </c>
      <c r="E818" s="19" t="s">
        <v>398</v>
      </c>
      <c r="F818" s="19" t="s">
        <v>40</v>
      </c>
      <c r="G818" s="21">
        <v>119.0</v>
      </c>
      <c r="H818" s="22">
        <v>99.1</v>
      </c>
    </row>
    <row r="819">
      <c r="A819" s="19">
        <v>815.0</v>
      </c>
      <c r="B819" s="19">
        <v>825.0</v>
      </c>
      <c r="C819" s="19">
        <v>616.0</v>
      </c>
      <c r="D819" s="19" t="s">
        <v>1048</v>
      </c>
      <c r="E819" s="19" t="s">
        <v>227</v>
      </c>
      <c r="F819" s="19" t="s">
        <v>40</v>
      </c>
      <c r="G819" s="21">
        <v>116.0</v>
      </c>
      <c r="H819" s="22">
        <v>99.1</v>
      </c>
    </row>
    <row r="820">
      <c r="A820" s="19">
        <v>816.0</v>
      </c>
      <c r="B820" s="19">
        <v>811.0</v>
      </c>
      <c r="C820" s="19">
        <v>810.0</v>
      </c>
      <c r="D820" s="19" t="s">
        <v>1049</v>
      </c>
      <c r="E820" s="19" t="s">
        <v>646</v>
      </c>
      <c r="F820" s="19" t="s">
        <v>44</v>
      </c>
      <c r="G820" s="21">
        <v>87.0</v>
      </c>
      <c r="H820" s="22">
        <v>99.1</v>
      </c>
    </row>
    <row r="821">
      <c r="A821" s="19">
        <v>818.0</v>
      </c>
      <c r="B821" s="19">
        <v>720.0</v>
      </c>
      <c r="C821" s="19">
        <v>832.0</v>
      </c>
      <c r="D821" s="19" t="s">
        <v>1050</v>
      </c>
      <c r="E821" s="19" t="s">
        <v>699</v>
      </c>
      <c r="F821" s="19" t="s">
        <v>40</v>
      </c>
      <c r="G821" s="21">
        <v>118.0</v>
      </c>
      <c r="H821" s="22">
        <v>99.1</v>
      </c>
    </row>
    <row r="822">
      <c r="A822" s="19">
        <v>821.0</v>
      </c>
      <c r="B822" s="19">
        <v>563.0</v>
      </c>
      <c r="C822" s="19">
        <v>586.0</v>
      </c>
      <c r="D822" s="19" t="s">
        <v>1051</v>
      </c>
      <c r="E822" s="19" t="s">
        <v>130</v>
      </c>
      <c r="F822" s="19" t="s">
        <v>38</v>
      </c>
      <c r="G822" s="21">
        <v>58.0</v>
      </c>
      <c r="H822" s="22">
        <v>68.9</v>
      </c>
    </row>
    <row r="823">
      <c r="A823" s="19">
        <v>822.0</v>
      </c>
      <c r="B823" s="19">
        <v>714.0</v>
      </c>
      <c r="C823" s="19">
        <v>611.0</v>
      </c>
      <c r="D823" s="19" t="s">
        <v>1052</v>
      </c>
      <c r="E823" s="19" t="s">
        <v>200</v>
      </c>
      <c r="F823" s="19" t="s">
        <v>23</v>
      </c>
      <c r="G823" s="21">
        <v>60.0</v>
      </c>
      <c r="H823" s="22">
        <v>76.5</v>
      </c>
    </row>
    <row r="824">
      <c r="A824" s="19">
        <v>823.0</v>
      </c>
      <c r="B824" s="19">
        <v>615.0</v>
      </c>
      <c r="C824" s="19">
        <v>667.0</v>
      </c>
      <c r="D824" s="19" t="s">
        <v>1053</v>
      </c>
      <c r="E824" s="19" t="s">
        <v>781</v>
      </c>
      <c r="F824" s="19" t="s">
        <v>23</v>
      </c>
      <c r="G824" s="21">
        <v>61.0</v>
      </c>
      <c r="H824" s="22">
        <v>68.9</v>
      </c>
    </row>
    <row r="825">
      <c r="A825" s="19">
        <v>824.0</v>
      </c>
      <c r="B825" s="19">
        <v>654.0</v>
      </c>
      <c r="C825" s="19">
        <v>674.0</v>
      </c>
      <c r="D825" s="19" t="s">
        <v>1054</v>
      </c>
      <c r="E825" s="19" t="s">
        <v>321</v>
      </c>
      <c r="F825" s="19" t="s">
        <v>38</v>
      </c>
      <c r="G825" s="21">
        <v>59.0</v>
      </c>
      <c r="H825" s="22">
        <v>76.5</v>
      </c>
    </row>
    <row r="826">
      <c r="A826" s="19">
        <v>825.0</v>
      </c>
      <c r="B826" s="19">
        <v>770.0</v>
      </c>
      <c r="C826" s="19">
        <v>664.0</v>
      </c>
      <c r="D826" s="19" t="s">
        <v>1055</v>
      </c>
      <c r="E826" s="19" t="s">
        <v>70</v>
      </c>
      <c r="F826" s="19" t="s">
        <v>44</v>
      </c>
      <c r="G826" s="21">
        <v>88.0</v>
      </c>
      <c r="H826" s="22">
        <v>76.5</v>
      </c>
    </row>
    <row r="827">
      <c r="A827" s="19">
        <v>826.0</v>
      </c>
      <c r="B827" s="19">
        <v>765.0</v>
      </c>
      <c r="C827" s="19">
        <v>669.0</v>
      </c>
      <c r="D827" s="19" t="s">
        <v>1056</v>
      </c>
      <c r="E827" s="19" t="s">
        <v>533</v>
      </c>
      <c r="F827" s="19" t="s">
        <v>170</v>
      </c>
      <c r="G827" s="21">
        <v>35.0</v>
      </c>
      <c r="H827" s="22">
        <v>76.5</v>
      </c>
    </row>
    <row r="828">
      <c r="A828" s="19">
        <v>827.0</v>
      </c>
      <c r="B828" s="19">
        <v>768.0</v>
      </c>
      <c r="C828" s="19">
        <v>668.0</v>
      </c>
      <c r="D828" s="19" t="s">
        <v>1057</v>
      </c>
      <c r="E828" s="19" t="s">
        <v>212</v>
      </c>
      <c r="F828" s="19" t="s">
        <v>15</v>
      </c>
      <c r="G828" s="21">
        <v>35.0</v>
      </c>
      <c r="H828" s="22">
        <v>76.5</v>
      </c>
    </row>
    <row r="829">
      <c r="A829" s="19">
        <v>828.0</v>
      </c>
      <c r="B829" s="19">
        <v>685.0</v>
      </c>
      <c r="C829" s="19">
        <v>700.0</v>
      </c>
      <c r="D829" s="19" t="s">
        <v>1058</v>
      </c>
      <c r="E829" s="19" t="s">
        <v>708</v>
      </c>
      <c r="F829" s="19" t="s">
        <v>32</v>
      </c>
      <c r="G829" s="21">
        <v>83.0</v>
      </c>
      <c r="H829" s="22">
        <v>76.5</v>
      </c>
    </row>
    <row r="830">
      <c r="A830" s="19">
        <v>829.0</v>
      </c>
      <c r="B830" s="19">
        <v>689.0</v>
      </c>
      <c r="C830" s="19">
        <v>745.0</v>
      </c>
      <c r="D830" s="19" t="s">
        <v>1059</v>
      </c>
      <c r="E830" s="19" t="s">
        <v>631</v>
      </c>
      <c r="F830" s="19" t="s">
        <v>54</v>
      </c>
      <c r="G830" s="21">
        <v>58.0</v>
      </c>
      <c r="H830" s="22">
        <v>99.1</v>
      </c>
    </row>
    <row r="831">
      <c r="A831" s="19">
        <v>830.0</v>
      </c>
      <c r="B831" s="19">
        <v>784.0</v>
      </c>
      <c r="C831" s="19">
        <v>693.0</v>
      </c>
      <c r="D831" s="19" t="s">
        <v>1060</v>
      </c>
      <c r="E831" s="19" t="s">
        <v>245</v>
      </c>
      <c r="F831" s="19" t="s">
        <v>15</v>
      </c>
      <c r="G831" s="21">
        <v>36.0</v>
      </c>
      <c r="H831" s="22">
        <v>70.2</v>
      </c>
    </row>
    <row r="832">
      <c r="A832" s="19">
        <v>831.0</v>
      </c>
      <c r="B832" s="19">
        <v>834.0</v>
      </c>
      <c r="C832" s="19">
        <v>679.0</v>
      </c>
      <c r="D832" s="19" t="s">
        <v>1061</v>
      </c>
      <c r="E832" s="19" t="s">
        <v>398</v>
      </c>
      <c r="F832" s="19" t="s">
        <v>63</v>
      </c>
      <c r="G832" s="21">
        <v>50.0</v>
      </c>
      <c r="H832" s="22">
        <v>76.5</v>
      </c>
    </row>
    <row r="833">
      <c r="A833" s="19">
        <v>832.0</v>
      </c>
      <c r="B833" s="19">
        <v>728.0</v>
      </c>
      <c r="C833" s="19">
        <v>729.0</v>
      </c>
      <c r="D833" s="19" t="s">
        <v>1062</v>
      </c>
      <c r="E833" s="19" t="s">
        <v>413</v>
      </c>
      <c r="F833" s="19" t="s">
        <v>44</v>
      </c>
      <c r="G833" s="21">
        <v>89.0</v>
      </c>
      <c r="H833" s="22">
        <v>99.1</v>
      </c>
    </row>
    <row r="834">
      <c r="A834" s="19">
        <v>833.0</v>
      </c>
      <c r="B834" s="19">
        <v>699.0</v>
      </c>
      <c r="C834" s="19">
        <v>747.0</v>
      </c>
      <c r="D834" s="19" t="s">
        <v>1063</v>
      </c>
      <c r="E834" s="19" t="s">
        <v>200</v>
      </c>
      <c r="F834" s="19" t="s">
        <v>19</v>
      </c>
      <c r="G834" s="21">
        <v>70.0</v>
      </c>
      <c r="H834" s="22">
        <v>99.1</v>
      </c>
    </row>
    <row r="835">
      <c r="A835" s="19">
        <v>834.0</v>
      </c>
      <c r="B835" s="19">
        <v>798.0</v>
      </c>
      <c r="C835" s="19">
        <v>732.0</v>
      </c>
      <c r="D835" s="19" t="s">
        <v>1064</v>
      </c>
      <c r="E835" s="19" t="s">
        <v>185</v>
      </c>
      <c r="F835" s="19" t="s">
        <v>23</v>
      </c>
      <c r="G835" s="21">
        <v>62.0</v>
      </c>
      <c r="H835" s="22">
        <v>99.1</v>
      </c>
    </row>
    <row r="836">
      <c r="A836" s="19">
        <v>835.0</v>
      </c>
      <c r="B836" s="19">
        <v>821.0</v>
      </c>
      <c r="C836" s="19">
        <v>790.0</v>
      </c>
      <c r="D836" s="19" t="s">
        <v>1065</v>
      </c>
      <c r="E836" s="19" t="s">
        <v>35</v>
      </c>
      <c r="F836" s="19" t="s">
        <v>63</v>
      </c>
      <c r="G836" s="21">
        <v>51.0</v>
      </c>
      <c r="H836" s="22">
        <v>99.1</v>
      </c>
    </row>
    <row r="837">
      <c r="A837" s="19">
        <v>836.0</v>
      </c>
      <c r="B837" s="19">
        <v>835.0</v>
      </c>
      <c r="C837" s="19">
        <v>655.0</v>
      </c>
      <c r="D837" s="19" t="s">
        <v>1066</v>
      </c>
      <c r="E837" s="19" t="s">
        <v>370</v>
      </c>
      <c r="F837" s="19" t="s">
        <v>15</v>
      </c>
      <c r="G837" s="21">
        <v>37.0</v>
      </c>
      <c r="H837" s="22">
        <v>72.0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7.13"/>
    <col customWidth="1" min="3" max="3" width="6.88"/>
    <col customWidth="1" min="4" max="4" width="16.5"/>
    <col customWidth="1" min="5" max="5" width="17.0"/>
    <col customWidth="1" min="6" max="6" width="6.5"/>
    <col customWidth="1" min="7" max="7" width="9.13"/>
    <col customWidth="1" min="8" max="8" width="6.88"/>
    <col customWidth="1" min="9" max="9" width="20.25"/>
    <col customWidth="1" min="10" max="10" width="13.0"/>
    <col customWidth="1" min="11" max="11" width="14.0"/>
    <col customWidth="1" min="12" max="12" width="14.63"/>
    <col customWidth="1" min="13" max="13" width="11.75"/>
    <col customWidth="1" min="14" max="14" width="10.5"/>
    <col customWidth="1" min="15" max="15" width="11.5"/>
    <col customWidth="1" min="16" max="16" width="12.13"/>
    <col customWidth="1" min="17" max="17" width="11.75"/>
    <col customWidth="1" min="18" max="18" width="13.63"/>
    <col customWidth="1" min="19" max="19" width="13.0"/>
    <col customWidth="1" min="20" max="20" width="10.75"/>
    <col customWidth="1" min="21" max="21" width="11.25"/>
  </cols>
  <sheetData>
    <row r="1">
      <c r="A1" s="23" t="s">
        <v>1067</v>
      </c>
      <c r="B1" s="23" t="s">
        <v>4</v>
      </c>
      <c r="C1" s="23" t="s">
        <v>5</v>
      </c>
      <c r="D1" s="23" t="s">
        <v>6</v>
      </c>
      <c r="E1" s="23" t="s">
        <v>7</v>
      </c>
      <c r="F1" s="23" t="s">
        <v>475</v>
      </c>
      <c r="G1" s="23" t="s">
        <v>9</v>
      </c>
      <c r="H1" s="23" t="s">
        <v>11</v>
      </c>
      <c r="I1" s="23" t="s">
        <v>12</v>
      </c>
      <c r="J1" s="23" t="s">
        <v>1068</v>
      </c>
      <c r="K1" s="23" t="s">
        <v>1069</v>
      </c>
      <c r="L1" s="23" t="s">
        <v>1070</v>
      </c>
      <c r="M1" s="23" t="s">
        <v>1071</v>
      </c>
      <c r="N1" s="23" t="s">
        <v>1072</v>
      </c>
      <c r="O1" s="23" t="s">
        <v>1073</v>
      </c>
      <c r="P1" s="23" t="s">
        <v>1074</v>
      </c>
      <c r="Q1" s="23" t="s">
        <v>1075</v>
      </c>
      <c r="R1" s="23" t="s">
        <v>1076</v>
      </c>
      <c r="S1" s="23" t="s">
        <v>1077</v>
      </c>
      <c r="T1" s="23" t="s">
        <v>1078</v>
      </c>
      <c r="U1" s="23" t="s">
        <v>1079</v>
      </c>
    </row>
    <row r="2">
      <c r="A2" s="24" t="str">
        <f>IF(SUMIF('Big Board (by rank)'!$D:$D,$D2,'Big Board (by rank)'!A:A)=0,"",SUMIF('Big Board (by rank)'!$D:$D,$D2,'Big Board (by rank)'!A:A))</f>
        <v/>
      </c>
      <c r="B2" s="24" t="str">
        <f>IF(SUMIF('Big Board (by rank)'!$D:$D,$D2,'Big Board (by rank)'!B:B)=0,"",SUMIF('Big Board (by rank)'!$D:$D,$D2,'Big Board (by rank)'!B:B))</f>
        <v/>
      </c>
      <c r="C2" s="24" t="str">
        <f>IF(SUMIF('Big Board (by rank)'!$D:$D,$D2,'Big Board (by rank)'!C:C)=0,"",SUMIF('Big Board (by rank)'!$D:$D,$D2,'Big Board (by rank)'!C:C))</f>
        <v/>
      </c>
      <c r="D2" s="25" t="str">
        <f>IFERROR(VLOOKUP(I2,Selections!B:C,2,FALSE),"")</f>
        <v/>
      </c>
      <c r="E2" s="25" t="str">
        <f>IFERROR(VLOOKUP(D2,'Big Board (by rank)'!D:E,2,FALSE),"")</f>
        <v/>
      </c>
      <c r="F2" s="25" t="str">
        <f>IFERROR(VLOOKUP(D2,'Big Board (by rank)'!D:F,2,FALSE),"")</f>
        <v/>
      </c>
      <c r="G2" s="24" t="str">
        <f>IF(SUMIF('Big Board (by rank)'!D:D,D2,'Big Board (by rank)'!G:G)=0,"",SUMIF('Big Board (by rank)'!D:D,D2,'Big Board (by rank)'!G:G))</f>
        <v/>
      </c>
      <c r="H2" s="24"/>
      <c r="I2" s="25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>
      <c r="A3" s="24" t="str">
        <f>IF(SUMIF('Big Board (by rank)'!$D:$D,$D3,'Big Board (by rank)'!A:A)=0,"",SUMIF('Big Board (by rank)'!$D:$D,$D3,'Big Board (by rank)'!A:A))</f>
        <v/>
      </c>
      <c r="B3" s="24" t="str">
        <f>IF(SUMIF('Big Board (by rank)'!$D:$D,$D3,'Big Board (by rank)'!B:B)=0,"",SUMIF('Big Board (by rank)'!$D:$D,$D3,'Big Board (by rank)'!B:B))</f>
        <v/>
      </c>
      <c r="C3" s="24" t="str">
        <f>IF(SUMIF('Big Board (by rank)'!$D:$D,$D3,'Big Board (by rank)'!C:C)=0,"",SUMIF('Big Board (by rank)'!$D:$D,$D3,'Big Board (by rank)'!C:C))</f>
        <v/>
      </c>
      <c r="D3" s="25" t="str">
        <f>IFERROR(VLOOKUP(I3,Selections!B:C,2,FALSE),"")</f>
        <v/>
      </c>
      <c r="E3" s="25" t="str">
        <f>IFERROR(VLOOKUP(D3,'Big Board (by rank)'!D:E,2,FALSE),"")</f>
        <v/>
      </c>
      <c r="F3" s="26"/>
      <c r="G3" s="24" t="str">
        <f>IF(SUMIF('Big Board (by rank)'!D:D,D3,'Big Board (by rank)'!G:G)=0,"",SUMIF('Big Board (by rank)'!D:D,D3,'Big Board (by rank)'!G:G))</f>
        <v/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>
      <c r="A4" s="24" t="str">
        <f>IF(SUMIF('Big Board (by rank)'!$D:$D,$D4,'Big Board (by rank)'!A:A)=0,"",SUMIF('Big Board (by rank)'!$D:$D,$D4,'Big Board (by rank)'!A:A))</f>
        <v/>
      </c>
      <c r="B4" s="24" t="str">
        <f>IF(SUMIF('Big Board (by rank)'!$D:$D,$D4,'Big Board (by rank)'!B:B)=0,"",SUMIF('Big Board (by rank)'!$D:$D,$D4,'Big Board (by rank)'!B:B))</f>
        <v/>
      </c>
      <c r="C4" s="24" t="str">
        <f>IF(SUMIF('Big Board (by rank)'!$D:$D,$D4,'Big Board (by rank)'!C:C)=0,"",SUMIF('Big Board (by rank)'!$D:$D,$D4,'Big Board (by rank)'!C:C))</f>
        <v/>
      </c>
      <c r="D4" s="25" t="str">
        <f>IFERROR(VLOOKUP(I4,Selections!B:C,2,FALSE),"")</f>
        <v/>
      </c>
      <c r="E4" s="25" t="str">
        <f>IFERROR(VLOOKUP(D4,'Big Board (by rank)'!D:E,2,FALSE),"")</f>
        <v/>
      </c>
      <c r="F4" s="26"/>
      <c r="G4" s="24" t="str">
        <f>IF(SUMIF('Big Board (by rank)'!D:D,D4,'Big Board (by rank)'!G:G)=0,"",SUMIF('Big Board (by rank)'!D:D,D4,'Big Board (by rank)'!G:G))</f>
        <v/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>
      <c r="A5" s="24" t="str">
        <f>IF(SUMIF('Big Board (by rank)'!$D:$D,$D5,'Big Board (by rank)'!A:A)=0,"",SUMIF('Big Board (by rank)'!$D:$D,$D5,'Big Board (by rank)'!A:A))</f>
        <v/>
      </c>
      <c r="B5" s="24" t="str">
        <f>IF(SUMIF('Big Board (by rank)'!$D:$D,$D5,'Big Board (by rank)'!B:B)=0,"",SUMIF('Big Board (by rank)'!$D:$D,$D5,'Big Board (by rank)'!B:B))</f>
        <v/>
      </c>
      <c r="C5" s="24" t="str">
        <f>IF(SUMIF('Big Board (by rank)'!$D:$D,$D5,'Big Board (by rank)'!C:C)=0,"",SUMIF('Big Board (by rank)'!$D:$D,$D5,'Big Board (by rank)'!C:C))</f>
        <v/>
      </c>
      <c r="D5" s="25" t="str">
        <f>IFERROR(VLOOKUP(I5,Selections!B:C,2,FALSE),"")</f>
        <v/>
      </c>
      <c r="E5" s="25" t="str">
        <f>IFERROR(VLOOKUP(D5,'Big Board (by rank)'!D:E,2,FALSE),"")</f>
        <v/>
      </c>
      <c r="F5" s="26"/>
      <c r="G5" s="24" t="str">
        <f>IF(SUMIF('Big Board (by rank)'!D:D,D5,'Big Board (by rank)'!G:G)=0,"",SUMIF('Big Board (by rank)'!D:D,D5,'Big Board (by rank)'!G:G))</f>
        <v/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>
      <c r="A6" s="24" t="str">
        <f>IF(SUMIF('Big Board (by rank)'!$D:$D,$D6,'Big Board (by rank)'!A:A)=0,"",SUMIF('Big Board (by rank)'!$D:$D,$D6,'Big Board (by rank)'!A:A))</f>
        <v/>
      </c>
      <c r="B6" s="24" t="str">
        <f>IF(SUMIF('Big Board (by rank)'!$D:$D,$D6,'Big Board (by rank)'!B:B)=0,"",SUMIF('Big Board (by rank)'!$D:$D,$D6,'Big Board (by rank)'!B:B))</f>
        <v/>
      </c>
      <c r="C6" s="24" t="str">
        <f>IF(SUMIF('Big Board (by rank)'!$D:$D,$D6,'Big Board (by rank)'!C:C)=0,"",SUMIF('Big Board (by rank)'!$D:$D,$D6,'Big Board (by rank)'!C:C))</f>
        <v/>
      </c>
      <c r="D6" s="25" t="str">
        <f>IFERROR(VLOOKUP(I6,Selections!B:C,2,FALSE),"")</f>
        <v/>
      </c>
      <c r="E6" s="25" t="str">
        <f>IFERROR(VLOOKUP(D6,'Big Board (by rank)'!D:E,2,FALSE),"")</f>
        <v/>
      </c>
      <c r="F6" s="26"/>
      <c r="G6" s="24" t="str">
        <f>IF(SUMIF('Big Board (by rank)'!D:D,D6,'Big Board (by rank)'!G:G)=0,"",SUMIF('Big Board (by rank)'!D:D,D6,'Big Board (by rank)'!G:G))</f>
        <v/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>
      <c r="A7" s="24" t="str">
        <f>IF(SUMIF('Big Board (by rank)'!$D:$D,$D7,'Big Board (by rank)'!A:A)=0,"",SUMIF('Big Board (by rank)'!$D:$D,$D7,'Big Board (by rank)'!A:A))</f>
        <v/>
      </c>
      <c r="B7" s="24" t="str">
        <f>IF(SUMIF('Big Board (by rank)'!$D:$D,$D7,'Big Board (by rank)'!B:B)=0,"",SUMIF('Big Board (by rank)'!$D:$D,$D7,'Big Board (by rank)'!B:B))</f>
        <v/>
      </c>
      <c r="C7" s="24" t="str">
        <f>IF(SUMIF('Big Board (by rank)'!$D:$D,$D7,'Big Board (by rank)'!C:C)=0,"",SUMIF('Big Board (by rank)'!$D:$D,$D7,'Big Board (by rank)'!C:C))</f>
        <v/>
      </c>
      <c r="D7" s="25" t="str">
        <f>IFERROR(VLOOKUP(I7,Selections!B:C,2,FALSE),"")</f>
        <v/>
      </c>
      <c r="E7" s="25" t="str">
        <f>IFERROR(VLOOKUP(D7,'Big Board (by rank)'!D:E,2,FALSE),"")</f>
        <v/>
      </c>
      <c r="F7" s="26"/>
      <c r="G7" s="24" t="str">
        <f>IF(SUMIF('Big Board (by rank)'!D:D,D7,'Big Board (by rank)'!G:G)=0,"",SUMIF('Big Board (by rank)'!D:D,D7,'Big Board (by rank)'!G:G))</f>
        <v/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>
      <c r="A8" s="24" t="str">
        <f>IF(SUMIF('Big Board (by rank)'!$D:$D,$D8,'Big Board (by rank)'!A:A)=0,"",SUMIF('Big Board (by rank)'!$D:$D,$D8,'Big Board (by rank)'!A:A))</f>
        <v/>
      </c>
      <c r="B8" s="24" t="str">
        <f>IF(SUMIF('Big Board (by rank)'!$D:$D,$D8,'Big Board (by rank)'!B:B)=0,"",SUMIF('Big Board (by rank)'!$D:$D,$D8,'Big Board (by rank)'!B:B))</f>
        <v/>
      </c>
      <c r="C8" s="24" t="str">
        <f>IF(SUMIF('Big Board (by rank)'!$D:$D,$D8,'Big Board (by rank)'!C:C)=0,"",SUMIF('Big Board (by rank)'!$D:$D,$D8,'Big Board (by rank)'!C:C))</f>
        <v/>
      </c>
      <c r="D8" s="25" t="str">
        <f>IFERROR(VLOOKUP(I8,Selections!B:C,2,FALSE),"")</f>
        <v/>
      </c>
      <c r="E8" s="25" t="str">
        <f>IFERROR(VLOOKUP(D8,'Big Board (by rank)'!D:E,2,FALSE),"")</f>
        <v/>
      </c>
      <c r="F8" s="26"/>
      <c r="G8" s="24" t="str">
        <f>IF(SUMIF('Big Board (by rank)'!D:D,D8,'Big Board (by rank)'!G:G)=0,"",SUMIF('Big Board (by rank)'!D:D,D8,'Big Board (by rank)'!G:G))</f>
        <v/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>
      <c r="A9" s="24" t="str">
        <f>IF(SUMIF('Big Board (by rank)'!$D:$D,$D9,'Big Board (by rank)'!A:A)=0,"",SUMIF('Big Board (by rank)'!$D:$D,$D9,'Big Board (by rank)'!A:A))</f>
        <v/>
      </c>
      <c r="B9" s="24" t="str">
        <f>IF(SUMIF('Big Board (by rank)'!$D:$D,$D9,'Big Board (by rank)'!B:B)=0,"",SUMIF('Big Board (by rank)'!$D:$D,$D9,'Big Board (by rank)'!B:B))</f>
        <v/>
      </c>
      <c r="C9" s="24" t="str">
        <f>IF(SUMIF('Big Board (by rank)'!$D:$D,$D9,'Big Board (by rank)'!C:C)=0,"",SUMIF('Big Board (by rank)'!$D:$D,$D9,'Big Board (by rank)'!C:C))</f>
        <v/>
      </c>
      <c r="D9" s="25" t="str">
        <f>IFERROR(VLOOKUP(I9,Selections!B:C,2,FALSE),"")</f>
        <v/>
      </c>
      <c r="E9" s="25" t="str">
        <f>IFERROR(VLOOKUP(D9,'Big Board (by rank)'!D:E,2,FALSE),"")</f>
        <v/>
      </c>
      <c r="F9" s="26"/>
      <c r="G9" s="24" t="str">
        <f>IF(SUMIF('Big Board (by rank)'!D:D,D9,'Big Board (by rank)'!G:G)=0,"",SUMIF('Big Board (by rank)'!D:D,D9,'Big Board (by rank)'!G:G))</f>
        <v/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>
      <c r="A10" s="24" t="str">
        <f>IF(SUMIF('Big Board (by rank)'!$D:$D,$D10,'Big Board (by rank)'!A:A)=0,"",SUMIF('Big Board (by rank)'!$D:$D,$D10,'Big Board (by rank)'!A:A))</f>
        <v/>
      </c>
      <c r="B10" s="24" t="str">
        <f>IF(SUMIF('Big Board (by rank)'!$D:$D,$D10,'Big Board (by rank)'!B:B)=0,"",SUMIF('Big Board (by rank)'!$D:$D,$D10,'Big Board (by rank)'!B:B))</f>
        <v/>
      </c>
      <c r="C10" s="24" t="str">
        <f>IF(SUMIF('Big Board (by rank)'!$D:$D,$D10,'Big Board (by rank)'!C:C)=0,"",SUMIF('Big Board (by rank)'!$D:$D,$D10,'Big Board (by rank)'!C:C))</f>
        <v/>
      </c>
      <c r="D10" s="25" t="str">
        <f>IFERROR(VLOOKUP(I10,Selections!B:C,2,FALSE),"")</f>
        <v/>
      </c>
      <c r="E10" s="25" t="str">
        <f>IFERROR(VLOOKUP(D10,'Big Board (by rank)'!D:E,2,FALSE),"")</f>
        <v/>
      </c>
      <c r="F10" s="26"/>
      <c r="G10" s="24" t="str">
        <f>IF(SUMIF('Big Board (by rank)'!D:D,D10,'Big Board (by rank)'!G:G)=0,"",SUMIF('Big Board (by rank)'!D:D,D10,'Big Board (by rank)'!G:G))</f>
        <v/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>
      <c r="A11" s="24" t="str">
        <f>IF(SUMIF('Big Board (by rank)'!$D:$D,$D11,'Big Board (by rank)'!A:A)=0,"",SUMIF('Big Board (by rank)'!$D:$D,$D11,'Big Board (by rank)'!A:A))</f>
        <v/>
      </c>
      <c r="B11" s="24" t="str">
        <f>IF(SUMIF('Big Board (by rank)'!$D:$D,$D11,'Big Board (by rank)'!B:B)=0,"",SUMIF('Big Board (by rank)'!$D:$D,$D11,'Big Board (by rank)'!B:B))</f>
        <v/>
      </c>
      <c r="C11" s="24" t="str">
        <f>IF(SUMIF('Big Board (by rank)'!$D:$D,$D11,'Big Board (by rank)'!C:C)=0,"",SUMIF('Big Board (by rank)'!$D:$D,$D11,'Big Board (by rank)'!C:C))</f>
        <v/>
      </c>
      <c r="D11" s="25" t="str">
        <f>IFERROR(VLOOKUP(I11,Selections!B:C,2,FALSE),"")</f>
        <v/>
      </c>
      <c r="E11" s="25" t="str">
        <f>IFERROR(VLOOKUP(D11,'Big Board (by rank)'!D:E,2,FALSE),"")</f>
        <v/>
      </c>
      <c r="F11" s="26"/>
      <c r="G11" s="24" t="str">
        <f>IF(SUMIF('Big Board (by rank)'!D:D,D11,'Big Board (by rank)'!G:G)=0,"",SUMIF('Big Board (by rank)'!D:D,D11,'Big Board (by rank)'!G:G))</f>
        <v/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>
      <c r="A12" s="24" t="str">
        <f>IF(SUMIF('Big Board (by rank)'!$D:$D,$D12,'Big Board (by rank)'!A:A)=0,"",SUMIF('Big Board (by rank)'!$D:$D,$D12,'Big Board (by rank)'!A:A))</f>
        <v/>
      </c>
      <c r="B12" s="24" t="str">
        <f>IF(SUMIF('Big Board (by rank)'!$D:$D,$D12,'Big Board (by rank)'!B:B)=0,"",SUMIF('Big Board (by rank)'!$D:$D,$D12,'Big Board (by rank)'!B:B))</f>
        <v/>
      </c>
      <c r="C12" s="24" t="str">
        <f>IF(SUMIF('Big Board (by rank)'!$D:$D,$D12,'Big Board (by rank)'!C:C)=0,"",SUMIF('Big Board (by rank)'!$D:$D,$D12,'Big Board (by rank)'!C:C))</f>
        <v/>
      </c>
      <c r="D12" s="25" t="str">
        <f>IFERROR(VLOOKUP(I12,Selections!B:C,2,FALSE),"")</f>
        <v/>
      </c>
      <c r="E12" s="25" t="str">
        <f>IFERROR(VLOOKUP(D12,'Big Board (by rank)'!D:E,2,FALSE),"")</f>
        <v/>
      </c>
      <c r="F12" s="26"/>
      <c r="G12" s="24" t="str">
        <f>IF(SUMIF('Big Board (by rank)'!D:D,D12,'Big Board (by rank)'!G:G)=0,"",SUMIF('Big Board (by rank)'!D:D,D12,'Big Board (by rank)'!G:G))</f>
        <v/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>
      <c r="A13" s="24" t="str">
        <f>IF(SUMIF('Big Board (by rank)'!$D:$D,$D13,'Big Board (by rank)'!A:A)=0,"",SUMIF('Big Board (by rank)'!$D:$D,$D13,'Big Board (by rank)'!A:A))</f>
        <v/>
      </c>
      <c r="B13" s="24" t="str">
        <f>IF(SUMIF('Big Board (by rank)'!$D:$D,$D13,'Big Board (by rank)'!B:B)=0,"",SUMIF('Big Board (by rank)'!$D:$D,$D13,'Big Board (by rank)'!B:B))</f>
        <v/>
      </c>
      <c r="C13" s="24" t="str">
        <f>IF(SUMIF('Big Board (by rank)'!$D:$D,$D13,'Big Board (by rank)'!C:C)=0,"",SUMIF('Big Board (by rank)'!$D:$D,$D13,'Big Board (by rank)'!C:C))</f>
        <v/>
      </c>
      <c r="D13" s="25" t="str">
        <f>IFERROR(VLOOKUP(I13,Selections!B:C,2,FALSE),"")</f>
        <v/>
      </c>
      <c r="E13" s="25" t="str">
        <f>IFERROR(VLOOKUP(D13,'Big Board (by rank)'!D:E,2,FALSE),"")</f>
        <v/>
      </c>
      <c r="F13" s="26"/>
      <c r="G13" s="24" t="str">
        <f>IF(SUMIF('Big Board (by rank)'!D:D,D13,'Big Board (by rank)'!G:G)=0,"",SUMIF('Big Board (by rank)'!D:D,D13,'Big Board (by rank)'!G:G))</f>
        <v/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>
      <c r="A14" s="24" t="str">
        <f>IF(SUMIF('Big Board (by rank)'!$D:$D,$D14,'Big Board (by rank)'!A:A)=0,"",SUMIF('Big Board (by rank)'!$D:$D,$D14,'Big Board (by rank)'!A:A))</f>
        <v/>
      </c>
      <c r="B14" s="24" t="str">
        <f>IF(SUMIF('Big Board (by rank)'!$D:$D,$D14,'Big Board (by rank)'!B:B)=0,"",SUMIF('Big Board (by rank)'!$D:$D,$D14,'Big Board (by rank)'!B:B))</f>
        <v/>
      </c>
      <c r="C14" s="24" t="str">
        <f>IF(SUMIF('Big Board (by rank)'!$D:$D,$D14,'Big Board (by rank)'!C:C)=0,"",SUMIF('Big Board (by rank)'!$D:$D,$D14,'Big Board (by rank)'!C:C))</f>
        <v/>
      </c>
      <c r="D14" s="25" t="str">
        <f>IFERROR(VLOOKUP(I14,Selections!B:C,2,FALSE),"")</f>
        <v/>
      </c>
      <c r="E14" s="25" t="str">
        <f>IFERROR(VLOOKUP(D14,'Big Board (by rank)'!D:E,2,FALSE),"")</f>
        <v/>
      </c>
      <c r="F14" s="26"/>
      <c r="G14" s="24" t="str">
        <f>IF(SUMIF('Big Board (by rank)'!D:D,D14,'Big Board (by rank)'!G:G)=0,"",SUMIF('Big Board (by rank)'!D:D,D14,'Big Board (by rank)'!G:G))</f>
        <v/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>
      <c r="A15" s="24" t="str">
        <f>IF(SUMIF('Big Board (by rank)'!$D:$D,$D15,'Big Board (by rank)'!A:A)=0,"",SUMIF('Big Board (by rank)'!$D:$D,$D15,'Big Board (by rank)'!A:A))</f>
        <v/>
      </c>
      <c r="B15" s="24" t="str">
        <f>IF(SUMIF('Big Board (by rank)'!$D:$D,$D15,'Big Board (by rank)'!B:B)=0,"",SUMIF('Big Board (by rank)'!$D:$D,$D15,'Big Board (by rank)'!B:B))</f>
        <v/>
      </c>
      <c r="C15" s="24" t="str">
        <f>IF(SUMIF('Big Board (by rank)'!$D:$D,$D15,'Big Board (by rank)'!C:C)=0,"",SUMIF('Big Board (by rank)'!$D:$D,$D15,'Big Board (by rank)'!C:C))</f>
        <v/>
      </c>
      <c r="D15" s="25" t="str">
        <f>IFERROR(VLOOKUP(I15,Selections!B:C,2,FALSE),"")</f>
        <v/>
      </c>
      <c r="E15" s="25" t="str">
        <f>IFERROR(VLOOKUP(D15,'Big Board (by rank)'!D:E,2,FALSE),"")</f>
        <v/>
      </c>
      <c r="F15" s="26"/>
      <c r="G15" s="24" t="str">
        <f>IF(SUMIF('Big Board (by rank)'!D:D,D15,'Big Board (by rank)'!G:G)=0,"",SUMIF('Big Board (by rank)'!D:D,D15,'Big Board (by rank)'!G:G))</f>
        <v/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>
      <c r="A16" s="24" t="str">
        <f>IF(SUMIF('Big Board (by rank)'!$D:$D,$D16,'Big Board (by rank)'!A:A)=0,"",SUMIF('Big Board (by rank)'!$D:$D,$D16,'Big Board (by rank)'!A:A))</f>
        <v/>
      </c>
      <c r="B16" s="24" t="str">
        <f>IF(SUMIF('Big Board (by rank)'!$D:$D,$D16,'Big Board (by rank)'!B:B)=0,"",SUMIF('Big Board (by rank)'!$D:$D,$D16,'Big Board (by rank)'!B:B))</f>
        <v/>
      </c>
      <c r="C16" s="24" t="str">
        <f>IF(SUMIF('Big Board (by rank)'!$D:$D,$D16,'Big Board (by rank)'!C:C)=0,"",SUMIF('Big Board (by rank)'!$D:$D,$D16,'Big Board (by rank)'!C:C))</f>
        <v/>
      </c>
      <c r="D16" s="25" t="str">
        <f>IFERROR(VLOOKUP(I16,Selections!B:C,2,FALSE),"")</f>
        <v/>
      </c>
      <c r="E16" s="25" t="str">
        <f>IFERROR(VLOOKUP(D16,'Big Board (by rank)'!D:E,2,FALSE),"")</f>
        <v/>
      </c>
      <c r="F16" s="26"/>
      <c r="G16" s="24" t="str">
        <f>IF(SUMIF('Big Board (by rank)'!D:D,D16,'Big Board (by rank)'!G:G)=0,"",SUMIF('Big Board (by rank)'!D:D,D16,'Big Board (by rank)'!G:G))</f>
        <v/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>
      <c r="A17" s="24" t="str">
        <f>IF(SUMIF('Big Board (by rank)'!$D:$D,$D17,'Big Board (by rank)'!A:A)=0,"",SUMIF('Big Board (by rank)'!$D:$D,$D17,'Big Board (by rank)'!A:A))</f>
        <v/>
      </c>
      <c r="B17" s="24" t="str">
        <f>IF(SUMIF('Big Board (by rank)'!$D:$D,$D17,'Big Board (by rank)'!B:B)=0,"",SUMIF('Big Board (by rank)'!$D:$D,$D17,'Big Board (by rank)'!B:B))</f>
        <v/>
      </c>
      <c r="C17" s="24" t="str">
        <f>IF(SUMIF('Big Board (by rank)'!$D:$D,$D17,'Big Board (by rank)'!C:C)=0,"",SUMIF('Big Board (by rank)'!$D:$D,$D17,'Big Board (by rank)'!C:C))</f>
        <v/>
      </c>
      <c r="D17" s="25" t="str">
        <f>IFERROR(VLOOKUP(I17,Selections!B:C,2,FALSE),"")</f>
        <v/>
      </c>
      <c r="E17" s="25" t="str">
        <f>IFERROR(VLOOKUP(D17,'Big Board (by rank)'!D:E,2,FALSE),"")</f>
        <v/>
      </c>
      <c r="F17" s="26"/>
      <c r="G17" s="24" t="str">
        <f>IF(SUMIF('Big Board (by rank)'!D:D,D17,'Big Board (by rank)'!G:G)=0,"",SUMIF('Big Board (by rank)'!D:D,D17,'Big Board (by rank)'!G:G))</f>
        <v/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>
      <c r="A18" s="24" t="str">
        <f>IF(SUMIF('Big Board (by rank)'!$D:$D,$D18,'Big Board (by rank)'!A:A)=0,"",SUMIF('Big Board (by rank)'!$D:$D,$D18,'Big Board (by rank)'!A:A))</f>
        <v/>
      </c>
      <c r="B18" s="24" t="str">
        <f>IF(SUMIF('Big Board (by rank)'!$D:$D,$D18,'Big Board (by rank)'!B:B)=0,"",SUMIF('Big Board (by rank)'!$D:$D,$D18,'Big Board (by rank)'!B:B))</f>
        <v/>
      </c>
      <c r="C18" s="24" t="str">
        <f>IF(SUMIF('Big Board (by rank)'!$D:$D,$D18,'Big Board (by rank)'!C:C)=0,"",SUMIF('Big Board (by rank)'!$D:$D,$D18,'Big Board (by rank)'!C:C))</f>
        <v/>
      </c>
      <c r="D18" s="25" t="str">
        <f>IFERROR(VLOOKUP(I18,Selections!B:C,2,FALSE),"")</f>
        <v/>
      </c>
      <c r="E18" s="25" t="str">
        <f>IFERROR(VLOOKUP(D18,'Big Board (by rank)'!D:E,2,FALSE),"")</f>
        <v/>
      </c>
      <c r="F18" s="26"/>
      <c r="G18" s="24" t="str">
        <f>IF(SUMIF('Big Board (by rank)'!D:D,D18,'Big Board (by rank)'!G:G)=0,"",SUMIF('Big Board (by rank)'!D:D,D18,'Big Board (by rank)'!G:G))</f>
        <v/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>
      <c r="A19" s="24" t="str">
        <f>IF(SUMIF('Big Board (by rank)'!$D:$D,$D19,'Big Board (by rank)'!A:A)=0,"",SUMIF('Big Board (by rank)'!$D:$D,$D19,'Big Board (by rank)'!A:A))</f>
        <v/>
      </c>
      <c r="B19" s="24" t="str">
        <f>IF(SUMIF('Big Board (by rank)'!$D:$D,$D19,'Big Board (by rank)'!B:B)=0,"",SUMIF('Big Board (by rank)'!$D:$D,$D19,'Big Board (by rank)'!B:B))</f>
        <v/>
      </c>
      <c r="C19" s="24" t="str">
        <f>IF(SUMIF('Big Board (by rank)'!$D:$D,$D19,'Big Board (by rank)'!C:C)=0,"",SUMIF('Big Board (by rank)'!$D:$D,$D19,'Big Board (by rank)'!C:C))</f>
        <v/>
      </c>
      <c r="D19" s="25" t="str">
        <f>IFERROR(VLOOKUP(I19,Selections!B:C,2,FALSE),"")</f>
        <v/>
      </c>
      <c r="E19" s="25" t="str">
        <f>IFERROR(VLOOKUP(D19,'Big Board (by rank)'!D:E,2,FALSE),"")</f>
        <v/>
      </c>
      <c r="F19" s="26"/>
      <c r="G19" s="24" t="str">
        <f>IF(SUMIF('Big Board (by rank)'!D:D,D19,'Big Board (by rank)'!G:G)=0,"",SUMIF('Big Board (by rank)'!D:D,D19,'Big Board (by rank)'!G:G))</f>
        <v/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>
      <c r="A20" s="24" t="str">
        <f>IF(SUMIF('Big Board (by rank)'!$D:$D,$D20,'Big Board (by rank)'!A:A)=0,"",SUMIF('Big Board (by rank)'!$D:$D,$D20,'Big Board (by rank)'!A:A))</f>
        <v/>
      </c>
      <c r="B20" s="24" t="str">
        <f>IF(SUMIF('Big Board (by rank)'!$D:$D,$D20,'Big Board (by rank)'!B:B)=0,"",SUMIF('Big Board (by rank)'!$D:$D,$D20,'Big Board (by rank)'!B:B))</f>
        <v/>
      </c>
      <c r="C20" s="24" t="str">
        <f>IF(SUMIF('Big Board (by rank)'!$D:$D,$D20,'Big Board (by rank)'!C:C)=0,"",SUMIF('Big Board (by rank)'!$D:$D,$D20,'Big Board (by rank)'!C:C))</f>
        <v/>
      </c>
      <c r="D20" s="25" t="str">
        <f>IFERROR(VLOOKUP(I20,Selections!B:C,2,FALSE),"")</f>
        <v/>
      </c>
      <c r="E20" s="25" t="str">
        <f>IFERROR(VLOOKUP(D20,'Big Board (by rank)'!D:E,2,FALSE),"")</f>
        <v/>
      </c>
      <c r="F20" s="26"/>
      <c r="G20" s="24" t="str">
        <f>IF(SUMIF('Big Board (by rank)'!D:D,D20,'Big Board (by rank)'!G:G)=0,"",SUMIF('Big Board (by rank)'!D:D,D20,'Big Board (by rank)'!G:G))</f>
        <v/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>
      <c r="A21" s="24" t="str">
        <f>IF(SUMIF('Big Board (by rank)'!$D:$D,$D21,'Big Board (by rank)'!A:A)=0,"",SUMIF('Big Board (by rank)'!$D:$D,$D21,'Big Board (by rank)'!A:A))</f>
        <v/>
      </c>
      <c r="B21" s="24" t="str">
        <f>IF(SUMIF('Big Board (by rank)'!$D:$D,$D21,'Big Board (by rank)'!B:B)=0,"",SUMIF('Big Board (by rank)'!$D:$D,$D21,'Big Board (by rank)'!B:B))</f>
        <v/>
      </c>
      <c r="C21" s="24" t="str">
        <f>IF(SUMIF('Big Board (by rank)'!$D:$D,$D21,'Big Board (by rank)'!C:C)=0,"",SUMIF('Big Board (by rank)'!$D:$D,$D21,'Big Board (by rank)'!C:C))</f>
        <v/>
      </c>
      <c r="D21" s="25" t="str">
        <f>IFERROR(VLOOKUP(I21,Selections!B:C,2,FALSE),"")</f>
        <v/>
      </c>
      <c r="E21" s="25" t="str">
        <f>IFERROR(VLOOKUP(D21,'Big Board (by rank)'!D:E,2,FALSE),"")</f>
        <v/>
      </c>
      <c r="F21" s="26"/>
      <c r="G21" s="24" t="str">
        <f>IF(SUMIF('Big Board (by rank)'!D:D,D21,'Big Board (by rank)'!G:G)=0,"",SUMIF('Big Board (by rank)'!D:D,D21,'Big Board (by rank)'!G:G))</f>
        <v/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>
      <c r="A22" s="24" t="str">
        <f>IF(SUMIF('Big Board (by rank)'!$D:$D,$D22,'Big Board (by rank)'!A:A)=0,"",SUMIF('Big Board (by rank)'!$D:$D,$D22,'Big Board (by rank)'!A:A))</f>
        <v/>
      </c>
      <c r="B22" s="24" t="str">
        <f>IF(SUMIF('Big Board (by rank)'!$D:$D,$D22,'Big Board (by rank)'!B:B)=0,"",SUMIF('Big Board (by rank)'!$D:$D,$D22,'Big Board (by rank)'!B:B))</f>
        <v/>
      </c>
      <c r="C22" s="24" t="str">
        <f>IF(SUMIF('Big Board (by rank)'!$D:$D,$D22,'Big Board (by rank)'!C:C)=0,"",SUMIF('Big Board (by rank)'!$D:$D,$D22,'Big Board (by rank)'!C:C))</f>
        <v/>
      </c>
      <c r="D22" s="25" t="str">
        <f>IFERROR(VLOOKUP(I22,Selections!B:C,2,FALSE),"")</f>
        <v/>
      </c>
      <c r="E22" s="25" t="str">
        <f>IFERROR(VLOOKUP(D22,'Big Board (by rank)'!D:E,2,FALSE),"")</f>
        <v/>
      </c>
      <c r="F22" s="26"/>
      <c r="G22" s="24" t="str">
        <f>IF(SUMIF('Big Board (by rank)'!D:D,D22,'Big Board (by rank)'!G:G)=0,"",SUMIF('Big Board (by rank)'!D:D,D22,'Big Board (by rank)'!G:G))</f>
        <v/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>
      <c r="A23" s="24" t="str">
        <f>IF(SUMIF('Big Board (by rank)'!$D:$D,$D23,'Big Board (by rank)'!A:A)=0,"",SUMIF('Big Board (by rank)'!$D:$D,$D23,'Big Board (by rank)'!A:A))</f>
        <v/>
      </c>
      <c r="B23" s="24" t="str">
        <f>IF(SUMIF('Big Board (by rank)'!$D:$D,$D23,'Big Board (by rank)'!B:B)=0,"",SUMIF('Big Board (by rank)'!$D:$D,$D23,'Big Board (by rank)'!B:B))</f>
        <v/>
      </c>
      <c r="C23" s="24" t="str">
        <f>IF(SUMIF('Big Board (by rank)'!$D:$D,$D23,'Big Board (by rank)'!C:C)=0,"",SUMIF('Big Board (by rank)'!$D:$D,$D23,'Big Board (by rank)'!C:C))</f>
        <v/>
      </c>
      <c r="D23" s="25" t="str">
        <f>IFERROR(VLOOKUP(I23,Selections!B:C,2,FALSE),"")</f>
        <v/>
      </c>
      <c r="E23" s="25" t="str">
        <f>IFERROR(VLOOKUP(D23,'Big Board (by rank)'!D:E,2,FALSE),"")</f>
        <v/>
      </c>
      <c r="F23" s="26"/>
      <c r="G23" s="24" t="str">
        <f>IF(SUMIF('Big Board (by rank)'!D:D,D23,'Big Board (by rank)'!G:G)=0,"",SUMIF('Big Board (by rank)'!D:D,D23,'Big Board (by rank)'!G:G))</f>
        <v/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>
      <c r="A24" s="24" t="str">
        <f>IF(SUMIF('Big Board (by rank)'!$D:$D,$D24,'Big Board (by rank)'!A:A)=0,"",SUMIF('Big Board (by rank)'!$D:$D,$D24,'Big Board (by rank)'!A:A))</f>
        <v/>
      </c>
      <c r="B24" s="24" t="str">
        <f>IF(SUMIF('Big Board (by rank)'!$D:$D,$D24,'Big Board (by rank)'!B:B)=0,"",SUMIF('Big Board (by rank)'!$D:$D,$D24,'Big Board (by rank)'!B:B))</f>
        <v/>
      </c>
      <c r="C24" s="24" t="str">
        <f>IF(SUMIF('Big Board (by rank)'!$D:$D,$D24,'Big Board (by rank)'!C:C)=0,"",SUMIF('Big Board (by rank)'!$D:$D,$D24,'Big Board (by rank)'!C:C))</f>
        <v/>
      </c>
      <c r="D24" s="25" t="str">
        <f>IFERROR(VLOOKUP(I24,Selections!B:C,2,FALSE),"")</f>
        <v/>
      </c>
      <c r="E24" s="25" t="str">
        <f>IFERROR(VLOOKUP(D24,'Big Board (by rank)'!D:E,2,FALSE),"")</f>
        <v/>
      </c>
      <c r="F24" s="26"/>
      <c r="G24" s="24" t="str">
        <f>IF(SUMIF('Big Board (by rank)'!D:D,D24,'Big Board (by rank)'!G:G)=0,"",SUMIF('Big Board (by rank)'!D:D,D24,'Big Board (by rank)'!G:G))</f>
        <v/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>
      <c r="A25" s="24" t="str">
        <f>IF(SUMIF('Big Board (by rank)'!$D:$D,$D25,'Big Board (by rank)'!A:A)=0,"",SUMIF('Big Board (by rank)'!$D:$D,$D25,'Big Board (by rank)'!A:A))</f>
        <v/>
      </c>
      <c r="B25" s="24" t="str">
        <f>IF(SUMIF('Big Board (by rank)'!$D:$D,$D25,'Big Board (by rank)'!B:B)=0,"",SUMIF('Big Board (by rank)'!$D:$D,$D25,'Big Board (by rank)'!B:B))</f>
        <v/>
      </c>
      <c r="C25" s="24" t="str">
        <f>IF(SUMIF('Big Board (by rank)'!$D:$D,$D25,'Big Board (by rank)'!C:C)=0,"",SUMIF('Big Board (by rank)'!$D:$D,$D25,'Big Board (by rank)'!C:C))</f>
        <v/>
      </c>
      <c r="D25" s="25" t="str">
        <f>IFERROR(VLOOKUP(I25,Selections!B:C,2,FALSE),"")</f>
        <v/>
      </c>
      <c r="E25" s="25" t="str">
        <f>IFERROR(VLOOKUP(D25,'Big Board (by rank)'!D:E,2,FALSE),"")</f>
        <v/>
      </c>
      <c r="F25" s="26"/>
      <c r="G25" s="24" t="str">
        <f>IF(SUMIF('Big Board (by rank)'!D:D,D25,'Big Board (by rank)'!G:G)=0,"",SUMIF('Big Board (by rank)'!D:D,D25,'Big Board (by rank)'!G:G))</f>
        <v/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>
      <c r="A26" s="24" t="str">
        <f>IF(SUMIF('Big Board (by rank)'!$D:$D,$D26,'Big Board (by rank)'!A:A)=0,"",SUMIF('Big Board (by rank)'!$D:$D,$D26,'Big Board (by rank)'!A:A))</f>
        <v/>
      </c>
      <c r="B26" s="24" t="str">
        <f>IF(SUMIF('Big Board (by rank)'!$D:$D,$D26,'Big Board (by rank)'!B:B)=0,"",SUMIF('Big Board (by rank)'!$D:$D,$D26,'Big Board (by rank)'!B:B))</f>
        <v/>
      </c>
      <c r="C26" s="24" t="str">
        <f>IF(SUMIF('Big Board (by rank)'!$D:$D,$D26,'Big Board (by rank)'!C:C)=0,"",SUMIF('Big Board (by rank)'!$D:$D,$D26,'Big Board (by rank)'!C:C))</f>
        <v/>
      </c>
      <c r="D26" s="25" t="str">
        <f>IFERROR(VLOOKUP(I26,Selections!B:C,2,FALSE),"")</f>
        <v/>
      </c>
      <c r="E26" s="25" t="str">
        <f>IFERROR(VLOOKUP(D26,'Big Board (by rank)'!D:E,2,FALSE),"")</f>
        <v/>
      </c>
      <c r="F26" s="26"/>
      <c r="G26" s="24" t="str">
        <f>IF(SUMIF('Big Board (by rank)'!D:D,D26,'Big Board (by rank)'!G:G)=0,"",SUMIF('Big Board (by rank)'!D:D,D26,'Big Board (by rank)'!G:G))</f>
        <v/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>
      <c r="A27" s="24" t="str">
        <f>IF(SUMIF('Big Board (by rank)'!$D:$D,$D27,'Big Board (by rank)'!A:A)=0,"",SUMIF('Big Board (by rank)'!$D:$D,$D27,'Big Board (by rank)'!A:A))</f>
        <v/>
      </c>
      <c r="B27" s="24" t="str">
        <f>IF(SUMIF('Big Board (by rank)'!$D:$D,$D27,'Big Board (by rank)'!B:B)=0,"",SUMIF('Big Board (by rank)'!$D:$D,$D27,'Big Board (by rank)'!B:B))</f>
        <v/>
      </c>
      <c r="C27" s="24" t="str">
        <f>IF(SUMIF('Big Board (by rank)'!$D:$D,$D27,'Big Board (by rank)'!C:C)=0,"",SUMIF('Big Board (by rank)'!$D:$D,$D27,'Big Board (by rank)'!C:C))</f>
        <v/>
      </c>
      <c r="D27" s="25" t="str">
        <f>IFERROR(VLOOKUP(I27,Selections!B:C,2,FALSE),"")</f>
        <v/>
      </c>
      <c r="E27" s="25" t="str">
        <f>IFERROR(VLOOKUP(D27,'Big Board (by rank)'!D:E,2,FALSE),"")</f>
        <v/>
      </c>
      <c r="F27" s="26"/>
      <c r="G27" s="24" t="str">
        <f>IF(SUMIF('Big Board (by rank)'!D:D,D27,'Big Board (by rank)'!G:G)=0,"",SUMIF('Big Board (by rank)'!D:D,D27,'Big Board (by rank)'!G:G))</f>
        <v/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>
      <c r="A28" s="24" t="str">
        <f>IF(SUMIF('Big Board (by rank)'!$D:$D,$D28,'Big Board (by rank)'!A:A)=0,"",SUMIF('Big Board (by rank)'!$D:$D,$D28,'Big Board (by rank)'!A:A))</f>
        <v/>
      </c>
      <c r="B28" s="24" t="str">
        <f>IF(SUMIF('Big Board (by rank)'!$D:$D,$D28,'Big Board (by rank)'!B:B)=0,"",SUMIF('Big Board (by rank)'!$D:$D,$D28,'Big Board (by rank)'!B:B))</f>
        <v/>
      </c>
      <c r="C28" s="24" t="str">
        <f>IF(SUMIF('Big Board (by rank)'!$D:$D,$D28,'Big Board (by rank)'!C:C)=0,"",SUMIF('Big Board (by rank)'!$D:$D,$D28,'Big Board (by rank)'!C:C))</f>
        <v/>
      </c>
      <c r="D28" s="25" t="str">
        <f>IFERROR(VLOOKUP(I28,Selections!B:C,2,FALSE),"")</f>
        <v/>
      </c>
      <c r="E28" s="25" t="str">
        <f>IFERROR(VLOOKUP(D28,'Big Board (by rank)'!D:E,2,FALSE),"")</f>
        <v/>
      </c>
      <c r="F28" s="26"/>
      <c r="G28" s="24" t="str">
        <f>IF(SUMIF('Big Board (by rank)'!D:D,D28,'Big Board (by rank)'!G:G)=0,"",SUMIF('Big Board (by rank)'!D:D,D28,'Big Board (by rank)'!G:G))</f>
        <v/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>
      <c r="A29" s="24" t="str">
        <f>IF(SUMIF('Big Board (by rank)'!$D:$D,$D29,'Big Board (by rank)'!A:A)=0,"",SUMIF('Big Board (by rank)'!$D:$D,$D29,'Big Board (by rank)'!A:A))</f>
        <v/>
      </c>
      <c r="B29" s="24" t="str">
        <f>IF(SUMIF('Big Board (by rank)'!$D:$D,$D29,'Big Board (by rank)'!B:B)=0,"",SUMIF('Big Board (by rank)'!$D:$D,$D29,'Big Board (by rank)'!B:B))</f>
        <v/>
      </c>
      <c r="C29" s="24" t="str">
        <f>IF(SUMIF('Big Board (by rank)'!$D:$D,$D29,'Big Board (by rank)'!C:C)=0,"",SUMIF('Big Board (by rank)'!$D:$D,$D29,'Big Board (by rank)'!C:C))</f>
        <v/>
      </c>
      <c r="D29" s="25" t="str">
        <f>IFERROR(VLOOKUP(I29,Selections!B:C,2,FALSE),"")</f>
        <v/>
      </c>
      <c r="E29" s="25" t="str">
        <f>IFERROR(VLOOKUP(D29,'Big Board (by rank)'!D:E,2,FALSE),"")</f>
        <v/>
      </c>
      <c r="F29" s="26"/>
      <c r="G29" s="24" t="str">
        <f>IF(SUMIF('Big Board (by rank)'!D:D,D29,'Big Board (by rank)'!G:G)=0,"",SUMIF('Big Board (by rank)'!D:D,D29,'Big Board (by rank)'!G:G))</f>
        <v/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>
      <c r="A30" s="24" t="str">
        <f>IF(SUMIF('Big Board (by rank)'!$D:$D,$D30,'Big Board (by rank)'!A:A)=0,"",SUMIF('Big Board (by rank)'!$D:$D,$D30,'Big Board (by rank)'!A:A))</f>
        <v/>
      </c>
      <c r="B30" s="24" t="str">
        <f>IF(SUMIF('Big Board (by rank)'!$D:$D,$D30,'Big Board (by rank)'!B:B)=0,"",SUMIF('Big Board (by rank)'!$D:$D,$D30,'Big Board (by rank)'!B:B))</f>
        <v/>
      </c>
      <c r="C30" s="24" t="str">
        <f>IF(SUMIF('Big Board (by rank)'!$D:$D,$D30,'Big Board (by rank)'!C:C)=0,"",SUMIF('Big Board (by rank)'!$D:$D,$D30,'Big Board (by rank)'!C:C))</f>
        <v/>
      </c>
      <c r="D30" s="25" t="str">
        <f>IFERROR(VLOOKUP(I30,Selections!B:C,2,FALSE),"")</f>
        <v/>
      </c>
      <c r="E30" s="25" t="str">
        <f>IFERROR(VLOOKUP(D30,'Big Board (by rank)'!D:E,2,FALSE),"")</f>
        <v/>
      </c>
      <c r="F30" s="26"/>
      <c r="G30" s="24" t="str">
        <f>IF(SUMIF('Big Board (by rank)'!D:D,D30,'Big Board (by rank)'!G:G)=0,"",SUMIF('Big Board (by rank)'!D:D,D30,'Big Board (by rank)'!G:G))</f>
        <v/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>
      <c r="A31" s="24" t="str">
        <f>IF(SUMIF('Big Board (by rank)'!$D:$D,$D31,'Big Board (by rank)'!A:A)=0,"",SUMIF('Big Board (by rank)'!$D:$D,$D31,'Big Board (by rank)'!A:A))</f>
        <v/>
      </c>
      <c r="B31" s="24" t="str">
        <f>IF(SUMIF('Big Board (by rank)'!$D:$D,$D31,'Big Board (by rank)'!B:B)=0,"",SUMIF('Big Board (by rank)'!$D:$D,$D31,'Big Board (by rank)'!B:B))</f>
        <v/>
      </c>
      <c r="C31" s="24" t="str">
        <f>IF(SUMIF('Big Board (by rank)'!$D:$D,$D31,'Big Board (by rank)'!C:C)=0,"",SUMIF('Big Board (by rank)'!$D:$D,$D31,'Big Board (by rank)'!C:C))</f>
        <v/>
      </c>
      <c r="D31" s="25" t="str">
        <f>IFERROR(VLOOKUP(I31,Selections!B:C,2,FALSE),"")</f>
        <v/>
      </c>
      <c r="E31" s="25" t="str">
        <f>IFERROR(VLOOKUP(D31,'Big Board (by rank)'!D:E,2,FALSE),"")</f>
        <v/>
      </c>
      <c r="F31" s="26"/>
      <c r="G31" s="24" t="str">
        <f>IF(SUMIF('Big Board (by rank)'!D:D,D31,'Big Board (by rank)'!G:G)=0,"",SUMIF('Big Board (by rank)'!D:D,D31,'Big Board (by rank)'!G:G))</f>
        <v/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>
      <c r="A32" s="24" t="str">
        <f>IF(SUMIF('Big Board (by rank)'!$D:$D,$D32,'Big Board (by rank)'!A:A)=0,"",SUMIF('Big Board (by rank)'!$D:$D,$D32,'Big Board (by rank)'!A:A))</f>
        <v/>
      </c>
      <c r="B32" s="24" t="str">
        <f>IF(SUMIF('Big Board (by rank)'!$D:$D,$D32,'Big Board (by rank)'!B:B)=0,"",SUMIF('Big Board (by rank)'!$D:$D,$D32,'Big Board (by rank)'!B:B))</f>
        <v/>
      </c>
      <c r="C32" s="24" t="str">
        <f>IF(SUMIF('Big Board (by rank)'!$D:$D,$D32,'Big Board (by rank)'!C:C)=0,"",SUMIF('Big Board (by rank)'!$D:$D,$D32,'Big Board (by rank)'!C:C))</f>
        <v/>
      </c>
      <c r="D32" s="25" t="str">
        <f>IFERROR(VLOOKUP(I32,Selections!B:C,2,FALSE),"")</f>
        <v/>
      </c>
      <c r="E32" s="25" t="str">
        <f>IFERROR(VLOOKUP(D32,'Big Board (by rank)'!D:E,2,FALSE),"")</f>
        <v/>
      </c>
      <c r="F32" s="26"/>
      <c r="G32" s="24" t="str">
        <f>IF(SUMIF('Big Board (by rank)'!D:D,D32,'Big Board (by rank)'!G:G)=0,"",SUMIF('Big Board (by rank)'!D:D,D32,'Big Board (by rank)'!G:G))</f>
        <v/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>
      <c r="A33" s="24" t="str">
        <f>IF(SUMIF('Big Board (by rank)'!$D:$D,$D33,'Big Board (by rank)'!A:A)=0,"",SUMIF('Big Board (by rank)'!$D:$D,$D33,'Big Board (by rank)'!A:A))</f>
        <v/>
      </c>
      <c r="B33" s="24" t="str">
        <f>IF(SUMIF('Big Board (by rank)'!$D:$D,$D33,'Big Board (by rank)'!B:B)=0,"",SUMIF('Big Board (by rank)'!$D:$D,$D33,'Big Board (by rank)'!B:B))</f>
        <v/>
      </c>
      <c r="C33" s="24" t="str">
        <f>IF(SUMIF('Big Board (by rank)'!$D:$D,$D33,'Big Board (by rank)'!C:C)=0,"",SUMIF('Big Board (by rank)'!$D:$D,$D33,'Big Board (by rank)'!C:C))</f>
        <v/>
      </c>
      <c r="D33" s="25" t="str">
        <f>IFERROR(VLOOKUP(I33,Selections!B:C,2,FALSE),"")</f>
        <v/>
      </c>
      <c r="E33" s="25" t="str">
        <f>IFERROR(VLOOKUP(D33,'Big Board (by rank)'!D:E,2,FALSE),"")</f>
        <v/>
      </c>
      <c r="F33" s="26"/>
      <c r="G33" s="24" t="str">
        <f>IF(SUMIF('Big Board (by rank)'!D:D,D33,'Big Board (by rank)'!G:G)=0,"",SUMIF('Big Board (by rank)'!D:D,D33,'Big Board (by rank)'!G:G))</f>
        <v/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>
      <c r="A34" s="24" t="str">
        <f>IF(SUMIF('Big Board (by rank)'!$D:$D,$D34,'Big Board (by rank)'!A:A)=0,"",SUMIF('Big Board (by rank)'!$D:$D,$D34,'Big Board (by rank)'!A:A))</f>
        <v/>
      </c>
      <c r="B34" s="24" t="str">
        <f>IF(SUMIF('Big Board (by rank)'!$D:$D,$D34,'Big Board (by rank)'!B:B)=0,"",SUMIF('Big Board (by rank)'!$D:$D,$D34,'Big Board (by rank)'!B:B))</f>
        <v/>
      </c>
      <c r="C34" s="24" t="str">
        <f>IF(SUMIF('Big Board (by rank)'!$D:$D,$D34,'Big Board (by rank)'!C:C)=0,"",SUMIF('Big Board (by rank)'!$D:$D,$D34,'Big Board (by rank)'!C:C))</f>
        <v/>
      </c>
      <c r="D34" s="25" t="str">
        <f>IFERROR(VLOOKUP(I34,Selections!B:C,2,FALSE),"")</f>
        <v/>
      </c>
      <c r="E34" s="25" t="str">
        <f>IFERROR(VLOOKUP(D34,'Big Board (by rank)'!D:E,2,FALSE),"")</f>
        <v/>
      </c>
      <c r="F34" s="26"/>
      <c r="G34" s="24" t="str">
        <f>IF(SUMIF('Big Board (by rank)'!D:D,D34,'Big Board (by rank)'!G:G)=0,"",SUMIF('Big Board (by rank)'!D:D,D34,'Big Board (by rank)'!G:G))</f>
        <v/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>
      <c r="A35" s="24" t="str">
        <f>IF(SUMIF('Big Board (by rank)'!$D:$D,$D35,'Big Board (by rank)'!A:A)=0,"",SUMIF('Big Board (by rank)'!$D:$D,$D35,'Big Board (by rank)'!A:A))</f>
        <v/>
      </c>
      <c r="B35" s="24" t="str">
        <f>IF(SUMIF('Big Board (by rank)'!$D:$D,$D35,'Big Board (by rank)'!B:B)=0,"",SUMIF('Big Board (by rank)'!$D:$D,$D35,'Big Board (by rank)'!B:B))</f>
        <v/>
      </c>
      <c r="C35" s="24" t="str">
        <f>IF(SUMIF('Big Board (by rank)'!$D:$D,$D35,'Big Board (by rank)'!C:C)=0,"",SUMIF('Big Board (by rank)'!$D:$D,$D35,'Big Board (by rank)'!C:C))</f>
        <v/>
      </c>
      <c r="D35" s="25" t="str">
        <f>IFERROR(VLOOKUP(I35,Selections!B:C,2,FALSE),"")</f>
        <v/>
      </c>
      <c r="E35" s="25" t="str">
        <f>IFERROR(VLOOKUP(D35,'Big Board (by rank)'!D:E,2,FALSE),"")</f>
        <v/>
      </c>
      <c r="F35" s="26"/>
      <c r="G35" s="24" t="str">
        <f>IF(SUMIF('Big Board (by rank)'!D:D,D35,'Big Board (by rank)'!G:G)=0,"",SUMIF('Big Board (by rank)'!D:D,D35,'Big Board (by rank)'!G:G))</f>
        <v/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>
      <c r="A36" s="24" t="str">
        <f>IF(SUMIF('Big Board (by rank)'!$D:$D,$D36,'Big Board (by rank)'!A:A)=0,"",SUMIF('Big Board (by rank)'!$D:$D,$D36,'Big Board (by rank)'!A:A))</f>
        <v/>
      </c>
      <c r="B36" s="24" t="str">
        <f>IF(SUMIF('Big Board (by rank)'!$D:$D,$D36,'Big Board (by rank)'!B:B)=0,"",SUMIF('Big Board (by rank)'!$D:$D,$D36,'Big Board (by rank)'!B:B))</f>
        <v/>
      </c>
      <c r="C36" s="24" t="str">
        <f>IF(SUMIF('Big Board (by rank)'!$D:$D,$D36,'Big Board (by rank)'!C:C)=0,"",SUMIF('Big Board (by rank)'!$D:$D,$D36,'Big Board (by rank)'!C:C))</f>
        <v/>
      </c>
      <c r="D36" s="25" t="str">
        <f>IFERROR(VLOOKUP(I36,Selections!B:C,2,FALSE),"")</f>
        <v/>
      </c>
      <c r="E36" s="25" t="str">
        <f>IFERROR(VLOOKUP(D36,'Big Board (by rank)'!D:E,2,FALSE),"")</f>
        <v/>
      </c>
      <c r="F36" s="26"/>
      <c r="G36" s="24" t="str">
        <f>IF(SUMIF('Big Board (by rank)'!D:D,D36,'Big Board (by rank)'!G:G)=0,"",SUMIF('Big Board (by rank)'!D:D,D36,'Big Board (by rank)'!G:G))</f>
        <v/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>
      <c r="A37" s="24" t="str">
        <f>IF(SUMIF('Big Board (by rank)'!$D:$D,$D37,'Big Board (by rank)'!A:A)=0,"",SUMIF('Big Board (by rank)'!$D:$D,$D37,'Big Board (by rank)'!A:A))</f>
        <v/>
      </c>
      <c r="B37" s="24" t="str">
        <f>IF(SUMIF('Big Board (by rank)'!$D:$D,$D37,'Big Board (by rank)'!B:B)=0,"",SUMIF('Big Board (by rank)'!$D:$D,$D37,'Big Board (by rank)'!B:B))</f>
        <v/>
      </c>
      <c r="C37" s="24" t="str">
        <f>IF(SUMIF('Big Board (by rank)'!$D:$D,$D37,'Big Board (by rank)'!C:C)=0,"",SUMIF('Big Board (by rank)'!$D:$D,$D37,'Big Board (by rank)'!C:C))</f>
        <v/>
      </c>
      <c r="D37" s="25" t="str">
        <f>IFERROR(VLOOKUP(I37,Selections!B:C,2,FALSE),"")</f>
        <v/>
      </c>
      <c r="E37" s="25" t="str">
        <f>IFERROR(VLOOKUP(D37,'Big Board (by rank)'!D:E,2,FALSE),"")</f>
        <v/>
      </c>
      <c r="F37" s="26"/>
      <c r="G37" s="24" t="str">
        <f>IF(SUMIF('Big Board (by rank)'!D:D,D37,'Big Board (by rank)'!G:G)=0,"",SUMIF('Big Board (by rank)'!D:D,D37,'Big Board (by rank)'!G:G))</f>
        <v/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>
      <c r="A38" s="24" t="str">
        <f>IF(SUMIF('Big Board (by rank)'!$D:$D,$D38,'Big Board (by rank)'!A:A)=0,"",SUMIF('Big Board (by rank)'!$D:$D,$D38,'Big Board (by rank)'!A:A))</f>
        <v/>
      </c>
      <c r="B38" s="24" t="str">
        <f>IF(SUMIF('Big Board (by rank)'!$D:$D,$D38,'Big Board (by rank)'!B:B)=0,"",SUMIF('Big Board (by rank)'!$D:$D,$D38,'Big Board (by rank)'!B:B))</f>
        <v/>
      </c>
      <c r="C38" s="24" t="str">
        <f>IF(SUMIF('Big Board (by rank)'!$D:$D,$D38,'Big Board (by rank)'!C:C)=0,"",SUMIF('Big Board (by rank)'!$D:$D,$D38,'Big Board (by rank)'!C:C))</f>
        <v/>
      </c>
      <c r="D38" s="25" t="str">
        <f>IFERROR(VLOOKUP(I38,Selections!B:C,2,FALSE),"")</f>
        <v/>
      </c>
      <c r="E38" s="25" t="str">
        <f>IFERROR(VLOOKUP(D38,'Big Board (by rank)'!D:E,2,FALSE),"")</f>
        <v/>
      </c>
      <c r="F38" s="26"/>
      <c r="G38" s="24" t="str">
        <f>IF(SUMIF('Big Board (by rank)'!D:D,D38,'Big Board (by rank)'!G:G)=0,"",SUMIF('Big Board (by rank)'!D:D,D38,'Big Board (by rank)'!G:G))</f>
        <v/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>
      <c r="A39" s="24" t="str">
        <f>IF(SUMIF('Big Board (by rank)'!$D:$D,$D39,'Big Board (by rank)'!A:A)=0,"",SUMIF('Big Board (by rank)'!$D:$D,$D39,'Big Board (by rank)'!A:A))</f>
        <v/>
      </c>
      <c r="B39" s="24" t="str">
        <f>IF(SUMIF('Big Board (by rank)'!$D:$D,$D39,'Big Board (by rank)'!B:B)=0,"",SUMIF('Big Board (by rank)'!$D:$D,$D39,'Big Board (by rank)'!B:B))</f>
        <v/>
      </c>
      <c r="C39" s="24" t="str">
        <f>IF(SUMIF('Big Board (by rank)'!$D:$D,$D39,'Big Board (by rank)'!C:C)=0,"",SUMIF('Big Board (by rank)'!$D:$D,$D39,'Big Board (by rank)'!C:C))</f>
        <v/>
      </c>
      <c r="D39" s="25" t="str">
        <f>IFERROR(VLOOKUP(I39,Selections!B:C,2,FALSE),"")</f>
        <v/>
      </c>
      <c r="E39" s="25" t="str">
        <f>IFERROR(VLOOKUP(D39,'Big Board (by rank)'!D:E,2,FALSE),"")</f>
        <v/>
      </c>
      <c r="F39" s="26"/>
      <c r="G39" s="24" t="str">
        <f>IF(SUMIF('Big Board (by rank)'!D:D,D39,'Big Board (by rank)'!G:G)=0,"",SUMIF('Big Board (by rank)'!D:D,D39,'Big Board (by rank)'!G:G))</f>
        <v/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>
      <c r="A40" s="24" t="str">
        <f>IF(SUMIF('Big Board (by rank)'!$D:$D,$D40,'Big Board (by rank)'!A:A)=0,"",SUMIF('Big Board (by rank)'!$D:$D,$D40,'Big Board (by rank)'!A:A))</f>
        <v/>
      </c>
      <c r="B40" s="24" t="str">
        <f>IF(SUMIF('Big Board (by rank)'!$D:$D,$D40,'Big Board (by rank)'!B:B)=0,"",SUMIF('Big Board (by rank)'!$D:$D,$D40,'Big Board (by rank)'!B:B))</f>
        <v/>
      </c>
      <c r="C40" s="24" t="str">
        <f>IF(SUMIF('Big Board (by rank)'!$D:$D,$D40,'Big Board (by rank)'!C:C)=0,"",SUMIF('Big Board (by rank)'!$D:$D,$D40,'Big Board (by rank)'!C:C))</f>
        <v/>
      </c>
      <c r="D40" s="25" t="str">
        <f>IFERROR(VLOOKUP(I40,Selections!B:C,2,FALSE),"")</f>
        <v/>
      </c>
      <c r="E40" s="25" t="str">
        <f>IFERROR(VLOOKUP(D40,'Big Board (by rank)'!D:E,2,FALSE),"")</f>
        <v/>
      </c>
      <c r="F40" s="26"/>
      <c r="G40" s="24" t="str">
        <f>IF(SUMIF('Big Board (by rank)'!D:D,D40,'Big Board (by rank)'!G:G)=0,"",SUMIF('Big Board (by rank)'!D:D,D40,'Big Board (by rank)'!G:G))</f>
        <v/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>
      <c r="A41" s="24" t="str">
        <f>IF(SUMIF('Big Board (by rank)'!$D:$D,$D41,'Big Board (by rank)'!A:A)=0,"",SUMIF('Big Board (by rank)'!$D:$D,$D41,'Big Board (by rank)'!A:A))</f>
        <v/>
      </c>
      <c r="B41" s="24" t="str">
        <f>IF(SUMIF('Big Board (by rank)'!$D:$D,$D41,'Big Board (by rank)'!B:B)=0,"",SUMIF('Big Board (by rank)'!$D:$D,$D41,'Big Board (by rank)'!B:B))</f>
        <v/>
      </c>
      <c r="C41" s="24" t="str">
        <f>IF(SUMIF('Big Board (by rank)'!$D:$D,$D41,'Big Board (by rank)'!C:C)=0,"",SUMIF('Big Board (by rank)'!$D:$D,$D41,'Big Board (by rank)'!C:C))</f>
        <v/>
      </c>
      <c r="D41" s="25" t="str">
        <f>IFERROR(VLOOKUP(I41,Selections!B:C,2,FALSE),"")</f>
        <v/>
      </c>
      <c r="E41" s="25" t="str">
        <f>IFERROR(VLOOKUP(D41,'Big Board (by rank)'!D:E,2,FALSE),"")</f>
        <v/>
      </c>
      <c r="F41" s="26"/>
      <c r="G41" s="24" t="str">
        <f>IF(SUMIF('Big Board (by rank)'!D:D,D41,'Big Board (by rank)'!G:G)=0,"",SUMIF('Big Board (by rank)'!D:D,D41,'Big Board (by rank)'!G:G))</f>
        <v/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>
      <c r="A42" s="24" t="str">
        <f>IF(SUMIF('Big Board (by rank)'!$D:$D,$D42,'Big Board (by rank)'!A:A)=0,"",SUMIF('Big Board (by rank)'!$D:$D,$D42,'Big Board (by rank)'!A:A))</f>
        <v/>
      </c>
      <c r="B42" s="24" t="str">
        <f>IF(SUMIF('Big Board (by rank)'!$D:$D,$D42,'Big Board (by rank)'!B:B)=0,"",SUMIF('Big Board (by rank)'!$D:$D,$D42,'Big Board (by rank)'!B:B))</f>
        <v/>
      </c>
      <c r="C42" s="24" t="str">
        <f>IF(SUMIF('Big Board (by rank)'!$D:$D,$D42,'Big Board (by rank)'!C:C)=0,"",SUMIF('Big Board (by rank)'!$D:$D,$D42,'Big Board (by rank)'!C:C))</f>
        <v/>
      </c>
      <c r="D42" s="25" t="str">
        <f>IFERROR(VLOOKUP(I42,Selections!B:C,2,FALSE),"")</f>
        <v/>
      </c>
      <c r="E42" s="25" t="str">
        <f>IFERROR(VLOOKUP(D42,'Big Board (by rank)'!D:E,2,FALSE),"")</f>
        <v/>
      </c>
      <c r="F42" s="26"/>
      <c r="G42" s="24" t="str">
        <f>IF(SUMIF('Big Board (by rank)'!D:D,D42,'Big Board (by rank)'!G:G)=0,"",SUMIF('Big Board (by rank)'!D:D,D42,'Big Board (by rank)'!G:G))</f>
        <v/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>
      <c r="A43" s="24" t="str">
        <f>IF(SUMIF('Big Board (by rank)'!$D:$D,$D43,'Big Board (by rank)'!A:A)=0,"",SUMIF('Big Board (by rank)'!$D:$D,$D43,'Big Board (by rank)'!A:A))</f>
        <v/>
      </c>
      <c r="B43" s="24" t="str">
        <f>IF(SUMIF('Big Board (by rank)'!$D:$D,$D43,'Big Board (by rank)'!B:B)=0,"",SUMIF('Big Board (by rank)'!$D:$D,$D43,'Big Board (by rank)'!B:B))</f>
        <v/>
      </c>
      <c r="C43" s="24" t="str">
        <f>IF(SUMIF('Big Board (by rank)'!$D:$D,$D43,'Big Board (by rank)'!C:C)=0,"",SUMIF('Big Board (by rank)'!$D:$D,$D43,'Big Board (by rank)'!C:C))</f>
        <v/>
      </c>
      <c r="D43" s="25" t="str">
        <f>IFERROR(VLOOKUP(I43,Selections!B:C,2,FALSE),"")</f>
        <v/>
      </c>
      <c r="E43" s="25" t="str">
        <f>IFERROR(VLOOKUP(D43,'Big Board (by rank)'!D:E,2,FALSE),"")</f>
        <v/>
      </c>
      <c r="F43" s="26"/>
      <c r="G43" s="24" t="str">
        <f>IF(SUMIF('Big Board (by rank)'!D:D,D43,'Big Board (by rank)'!G:G)=0,"",SUMIF('Big Board (by rank)'!D:D,D43,'Big Board (by rank)'!G:G))</f>
        <v/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>
      <c r="A44" s="24" t="str">
        <f>IF(SUMIF('Big Board (by rank)'!$D:$D,$D44,'Big Board (by rank)'!A:A)=0,"",SUMIF('Big Board (by rank)'!$D:$D,$D44,'Big Board (by rank)'!A:A))</f>
        <v/>
      </c>
      <c r="B44" s="24" t="str">
        <f>IF(SUMIF('Big Board (by rank)'!$D:$D,$D44,'Big Board (by rank)'!B:B)=0,"",SUMIF('Big Board (by rank)'!$D:$D,$D44,'Big Board (by rank)'!B:B))</f>
        <v/>
      </c>
      <c r="C44" s="24" t="str">
        <f>IF(SUMIF('Big Board (by rank)'!$D:$D,$D44,'Big Board (by rank)'!C:C)=0,"",SUMIF('Big Board (by rank)'!$D:$D,$D44,'Big Board (by rank)'!C:C))</f>
        <v/>
      </c>
      <c r="D44" s="25" t="str">
        <f>IFERROR(VLOOKUP(I44,Selections!B:C,2,FALSE),"")</f>
        <v/>
      </c>
      <c r="E44" s="25" t="str">
        <f>IFERROR(VLOOKUP(D44,'Big Board (by rank)'!D:E,2,FALSE),"")</f>
        <v/>
      </c>
      <c r="F44" s="26"/>
      <c r="G44" s="24" t="str">
        <f>IF(SUMIF('Big Board (by rank)'!D:D,D44,'Big Board (by rank)'!G:G)=0,"",SUMIF('Big Board (by rank)'!D:D,D44,'Big Board (by rank)'!G:G))</f>
        <v/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>
      <c r="A45" s="24" t="str">
        <f>IF(SUMIF('Big Board (by rank)'!$D:$D,$D45,'Big Board (by rank)'!A:A)=0,"",SUMIF('Big Board (by rank)'!$D:$D,$D45,'Big Board (by rank)'!A:A))</f>
        <v/>
      </c>
      <c r="B45" s="24" t="str">
        <f>IF(SUMIF('Big Board (by rank)'!$D:$D,$D45,'Big Board (by rank)'!B:B)=0,"",SUMIF('Big Board (by rank)'!$D:$D,$D45,'Big Board (by rank)'!B:B))</f>
        <v/>
      </c>
      <c r="C45" s="24" t="str">
        <f>IF(SUMIF('Big Board (by rank)'!$D:$D,$D45,'Big Board (by rank)'!C:C)=0,"",SUMIF('Big Board (by rank)'!$D:$D,$D45,'Big Board (by rank)'!C:C))</f>
        <v/>
      </c>
      <c r="D45" s="25" t="str">
        <f>IFERROR(VLOOKUP(I45,Selections!B:C,2,FALSE),"")</f>
        <v/>
      </c>
      <c r="E45" s="25" t="str">
        <f>IFERROR(VLOOKUP(D45,'Big Board (by rank)'!D:E,2,FALSE),"")</f>
        <v/>
      </c>
      <c r="F45" s="26"/>
      <c r="G45" s="24" t="str">
        <f>IF(SUMIF('Big Board (by rank)'!D:D,D45,'Big Board (by rank)'!G:G)=0,"",SUMIF('Big Board (by rank)'!D:D,D45,'Big Board (by rank)'!G:G))</f>
        <v/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>
      <c r="A46" s="24" t="str">
        <f>IF(SUMIF('Big Board (by rank)'!$D:$D,$D46,'Big Board (by rank)'!A:A)=0,"",SUMIF('Big Board (by rank)'!$D:$D,$D46,'Big Board (by rank)'!A:A))</f>
        <v/>
      </c>
      <c r="B46" s="24" t="str">
        <f>IF(SUMIF('Big Board (by rank)'!$D:$D,$D46,'Big Board (by rank)'!B:B)=0,"",SUMIF('Big Board (by rank)'!$D:$D,$D46,'Big Board (by rank)'!B:B))</f>
        <v/>
      </c>
      <c r="C46" s="24" t="str">
        <f>IF(SUMIF('Big Board (by rank)'!$D:$D,$D46,'Big Board (by rank)'!C:C)=0,"",SUMIF('Big Board (by rank)'!$D:$D,$D46,'Big Board (by rank)'!C:C))</f>
        <v/>
      </c>
      <c r="D46" s="25" t="str">
        <f>IFERROR(VLOOKUP(I46,Selections!B:C,2,FALSE),"")</f>
        <v/>
      </c>
      <c r="E46" s="25" t="str">
        <f>IFERROR(VLOOKUP(D46,'Big Board (by rank)'!D:E,2,FALSE),"")</f>
        <v/>
      </c>
      <c r="F46" s="26"/>
      <c r="G46" s="24" t="str">
        <f>IF(SUMIF('Big Board (by rank)'!D:D,D46,'Big Board (by rank)'!G:G)=0,"",SUMIF('Big Board (by rank)'!D:D,D46,'Big Board (by rank)'!G:G))</f>
        <v/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</row>
    <row r="47">
      <c r="A47" s="24" t="str">
        <f>IF(SUMIF('Big Board (by rank)'!$D:$D,$D47,'Big Board (by rank)'!A:A)=0,"",SUMIF('Big Board (by rank)'!$D:$D,$D47,'Big Board (by rank)'!A:A))</f>
        <v/>
      </c>
      <c r="B47" s="24" t="str">
        <f>IF(SUMIF('Big Board (by rank)'!$D:$D,$D47,'Big Board (by rank)'!B:B)=0,"",SUMIF('Big Board (by rank)'!$D:$D,$D47,'Big Board (by rank)'!B:B))</f>
        <v/>
      </c>
      <c r="C47" s="24" t="str">
        <f>IF(SUMIF('Big Board (by rank)'!$D:$D,$D47,'Big Board (by rank)'!C:C)=0,"",SUMIF('Big Board (by rank)'!$D:$D,$D47,'Big Board (by rank)'!C:C))</f>
        <v/>
      </c>
      <c r="D47" s="25" t="str">
        <f>IFERROR(VLOOKUP(I47,Selections!B:C,2,FALSE),"")</f>
        <v/>
      </c>
      <c r="E47" s="25" t="str">
        <f>IFERROR(VLOOKUP(D47,'Big Board (by rank)'!D:E,2,FALSE),"")</f>
        <v/>
      </c>
      <c r="F47" s="26"/>
      <c r="G47" s="24" t="str">
        <f>IF(SUMIF('Big Board (by rank)'!D:D,D47,'Big Board (by rank)'!G:G)=0,"",SUMIF('Big Board (by rank)'!D:D,D47,'Big Board (by rank)'!G:G))</f>
        <v/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>
      <c r="A48" s="24" t="str">
        <f>IF(SUMIF('Big Board (by rank)'!$D:$D,$D48,'Big Board (by rank)'!A:A)=0,"",SUMIF('Big Board (by rank)'!$D:$D,$D48,'Big Board (by rank)'!A:A))</f>
        <v/>
      </c>
      <c r="B48" s="24" t="str">
        <f>IF(SUMIF('Big Board (by rank)'!$D:$D,$D48,'Big Board (by rank)'!B:B)=0,"",SUMIF('Big Board (by rank)'!$D:$D,$D48,'Big Board (by rank)'!B:B))</f>
        <v/>
      </c>
      <c r="C48" s="24" t="str">
        <f>IF(SUMIF('Big Board (by rank)'!$D:$D,$D48,'Big Board (by rank)'!C:C)=0,"",SUMIF('Big Board (by rank)'!$D:$D,$D48,'Big Board (by rank)'!C:C))</f>
        <v/>
      </c>
      <c r="D48" s="25" t="str">
        <f>IFERROR(VLOOKUP(I48,Selections!B:C,2,FALSE),"")</f>
        <v/>
      </c>
      <c r="E48" s="25" t="str">
        <f>IFERROR(VLOOKUP(D48,'Big Board (by rank)'!D:E,2,FALSE),"")</f>
        <v/>
      </c>
      <c r="F48" s="26"/>
      <c r="G48" s="24" t="str">
        <f>IF(SUMIF('Big Board (by rank)'!D:D,D48,'Big Board (by rank)'!G:G)=0,"",SUMIF('Big Board (by rank)'!D:D,D48,'Big Board (by rank)'!G:G))</f>
        <v/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</row>
    <row r="49">
      <c r="A49" s="24" t="str">
        <f>IF(SUMIF('Big Board (by rank)'!$D:$D,$D49,'Big Board (by rank)'!A:A)=0,"",SUMIF('Big Board (by rank)'!$D:$D,$D49,'Big Board (by rank)'!A:A))</f>
        <v/>
      </c>
      <c r="B49" s="24" t="str">
        <f>IF(SUMIF('Big Board (by rank)'!$D:$D,$D49,'Big Board (by rank)'!B:B)=0,"",SUMIF('Big Board (by rank)'!$D:$D,$D49,'Big Board (by rank)'!B:B))</f>
        <v/>
      </c>
      <c r="C49" s="24" t="str">
        <f>IF(SUMIF('Big Board (by rank)'!$D:$D,$D49,'Big Board (by rank)'!C:C)=0,"",SUMIF('Big Board (by rank)'!$D:$D,$D49,'Big Board (by rank)'!C:C))</f>
        <v/>
      </c>
      <c r="D49" s="25" t="str">
        <f>IFERROR(VLOOKUP(I49,Selections!B:C,2,FALSE),"")</f>
        <v/>
      </c>
      <c r="E49" s="25" t="str">
        <f>IFERROR(VLOOKUP(D49,'Big Board (by rank)'!D:E,2,FALSE),"")</f>
        <v/>
      </c>
      <c r="F49" s="26"/>
      <c r="G49" s="24" t="str">
        <f>IF(SUMIF('Big Board (by rank)'!D:D,D49,'Big Board (by rank)'!G:G)=0,"",SUMIF('Big Board (by rank)'!D:D,D49,'Big Board (by rank)'!G:G))</f>
        <v/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>
      <c r="A50" s="24" t="str">
        <f>IF(SUMIF('Big Board (by rank)'!$D:$D,$D50,'Big Board (by rank)'!A:A)=0,"",SUMIF('Big Board (by rank)'!$D:$D,$D50,'Big Board (by rank)'!A:A))</f>
        <v/>
      </c>
      <c r="B50" s="24" t="str">
        <f>IF(SUMIF('Big Board (by rank)'!$D:$D,$D50,'Big Board (by rank)'!B:B)=0,"",SUMIF('Big Board (by rank)'!$D:$D,$D50,'Big Board (by rank)'!B:B))</f>
        <v/>
      </c>
      <c r="C50" s="24" t="str">
        <f>IF(SUMIF('Big Board (by rank)'!$D:$D,$D50,'Big Board (by rank)'!C:C)=0,"",SUMIF('Big Board (by rank)'!$D:$D,$D50,'Big Board (by rank)'!C:C))</f>
        <v/>
      </c>
      <c r="D50" s="25" t="str">
        <f>IFERROR(VLOOKUP(I50,Selections!B:C,2,FALSE),"")</f>
        <v/>
      </c>
      <c r="E50" s="25" t="str">
        <f>IFERROR(VLOOKUP(D50,'Big Board (by rank)'!D:E,2,FALSE),"")</f>
        <v/>
      </c>
      <c r="F50" s="26"/>
      <c r="G50" s="24" t="str">
        <f>IF(SUMIF('Big Board (by rank)'!D:D,D50,'Big Board (by rank)'!G:G)=0,"",SUMIF('Big Board (by rank)'!D:D,D50,'Big Board (by rank)'!G:G))</f>
        <v/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</row>
    <row r="51">
      <c r="A51" s="24" t="str">
        <f>IF(SUMIF('Big Board (by rank)'!$D:$D,$D51,'Big Board (by rank)'!A:A)=0,"",SUMIF('Big Board (by rank)'!$D:$D,$D51,'Big Board (by rank)'!A:A))</f>
        <v/>
      </c>
      <c r="B51" s="24" t="str">
        <f>IF(SUMIF('Big Board (by rank)'!$D:$D,$D51,'Big Board (by rank)'!B:B)=0,"",SUMIF('Big Board (by rank)'!$D:$D,$D51,'Big Board (by rank)'!B:B))</f>
        <v/>
      </c>
      <c r="C51" s="24" t="str">
        <f>IF(SUMIF('Big Board (by rank)'!$D:$D,$D51,'Big Board (by rank)'!C:C)=0,"",SUMIF('Big Board (by rank)'!$D:$D,$D51,'Big Board (by rank)'!C:C))</f>
        <v/>
      </c>
      <c r="D51" s="25" t="str">
        <f>IFERROR(VLOOKUP(I51,Selections!B:C,2,FALSE),"")</f>
        <v/>
      </c>
      <c r="E51" s="25" t="str">
        <f>IFERROR(VLOOKUP(D51,'Big Board (by rank)'!D:E,2,FALSE),"")</f>
        <v/>
      </c>
      <c r="F51" s="26"/>
      <c r="G51" s="24" t="str">
        <f>IF(SUMIF('Big Board (by rank)'!D:D,D51,'Big Board (by rank)'!G:G)=0,"",SUMIF('Big Board (by rank)'!D:D,D51,'Big Board (by rank)'!G:G))</f>
        <v/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>
      <c r="A52" s="24" t="str">
        <f>IF(SUMIF('Big Board (by rank)'!$D:$D,$D52,'Big Board (by rank)'!A:A)=0,"",SUMIF('Big Board (by rank)'!$D:$D,$D52,'Big Board (by rank)'!A:A))</f>
        <v/>
      </c>
      <c r="B52" s="24" t="str">
        <f>IF(SUMIF('Big Board (by rank)'!$D:$D,$D52,'Big Board (by rank)'!B:B)=0,"",SUMIF('Big Board (by rank)'!$D:$D,$D52,'Big Board (by rank)'!B:B))</f>
        <v/>
      </c>
      <c r="C52" s="24" t="str">
        <f>IF(SUMIF('Big Board (by rank)'!$D:$D,$D52,'Big Board (by rank)'!C:C)=0,"",SUMIF('Big Board (by rank)'!$D:$D,$D52,'Big Board (by rank)'!C:C))</f>
        <v/>
      </c>
      <c r="D52" s="25" t="str">
        <f>IFERROR(VLOOKUP(I52,Selections!B:C,2,FALSE),"")</f>
        <v/>
      </c>
      <c r="E52" s="25" t="str">
        <f>IFERROR(VLOOKUP(D52,'Big Board (by rank)'!D:E,2,FALSE),"")</f>
        <v/>
      </c>
      <c r="F52" s="26"/>
      <c r="G52" s="24" t="str">
        <f>IF(SUMIF('Big Board (by rank)'!D:D,D52,'Big Board (by rank)'!G:G)=0,"",SUMIF('Big Board (by rank)'!D:D,D52,'Big Board (by rank)'!G:G))</f>
        <v/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</row>
    <row r="53">
      <c r="A53" s="24" t="str">
        <f>IF(SUMIF('Big Board (by rank)'!$D:$D,$D53,'Big Board (by rank)'!A:A)=0,"",SUMIF('Big Board (by rank)'!$D:$D,$D53,'Big Board (by rank)'!A:A))</f>
        <v/>
      </c>
      <c r="B53" s="24" t="str">
        <f>IF(SUMIF('Big Board (by rank)'!$D:$D,$D53,'Big Board (by rank)'!B:B)=0,"",SUMIF('Big Board (by rank)'!$D:$D,$D53,'Big Board (by rank)'!B:B))</f>
        <v/>
      </c>
      <c r="C53" s="24" t="str">
        <f>IF(SUMIF('Big Board (by rank)'!$D:$D,$D53,'Big Board (by rank)'!C:C)=0,"",SUMIF('Big Board (by rank)'!$D:$D,$D53,'Big Board (by rank)'!C:C))</f>
        <v/>
      </c>
      <c r="D53" s="25" t="str">
        <f>IFERROR(VLOOKUP(I53,Selections!B:C,2,FALSE),"")</f>
        <v/>
      </c>
      <c r="E53" s="25" t="str">
        <f>IFERROR(VLOOKUP(D53,'Big Board (by rank)'!D:E,2,FALSE),"")</f>
        <v/>
      </c>
      <c r="F53" s="26"/>
      <c r="G53" s="24" t="str">
        <f>IF(SUMIF('Big Board (by rank)'!D:D,D53,'Big Board (by rank)'!G:G)=0,"",SUMIF('Big Board (by rank)'!D:D,D53,'Big Board (by rank)'!G:G))</f>
        <v/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</row>
    <row r="54">
      <c r="A54" s="24" t="str">
        <f>IF(SUMIF('Big Board (by rank)'!$D:$D,$D54,'Big Board (by rank)'!A:A)=0,"",SUMIF('Big Board (by rank)'!$D:$D,$D54,'Big Board (by rank)'!A:A))</f>
        <v/>
      </c>
      <c r="B54" s="24" t="str">
        <f>IF(SUMIF('Big Board (by rank)'!$D:$D,$D54,'Big Board (by rank)'!B:B)=0,"",SUMIF('Big Board (by rank)'!$D:$D,$D54,'Big Board (by rank)'!B:B))</f>
        <v/>
      </c>
      <c r="C54" s="24" t="str">
        <f>IF(SUMIF('Big Board (by rank)'!$D:$D,$D54,'Big Board (by rank)'!C:C)=0,"",SUMIF('Big Board (by rank)'!$D:$D,$D54,'Big Board (by rank)'!C:C))</f>
        <v/>
      </c>
      <c r="D54" s="25" t="str">
        <f>IFERROR(VLOOKUP(I54,Selections!B:C,2,FALSE),"")</f>
        <v/>
      </c>
      <c r="E54" s="25" t="str">
        <f>IFERROR(VLOOKUP(D54,'Big Board (by rank)'!D:E,2,FALSE),"")</f>
        <v/>
      </c>
      <c r="F54" s="26"/>
      <c r="G54" s="24" t="str">
        <f>IF(SUMIF('Big Board (by rank)'!D:D,D54,'Big Board (by rank)'!G:G)=0,"",SUMIF('Big Board (by rank)'!D:D,D54,'Big Board (by rank)'!G:G))</f>
        <v/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</row>
    <row r="55">
      <c r="A55" s="24" t="str">
        <f>IF(SUMIF('Big Board (by rank)'!$D:$D,$D55,'Big Board (by rank)'!A:A)=0,"",SUMIF('Big Board (by rank)'!$D:$D,$D55,'Big Board (by rank)'!A:A))</f>
        <v/>
      </c>
      <c r="B55" s="24" t="str">
        <f>IF(SUMIF('Big Board (by rank)'!$D:$D,$D55,'Big Board (by rank)'!B:B)=0,"",SUMIF('Big Board (by rank)'!$D:$D,$D55,'Big Board (by rank)'!B:B))</f>
        <v/>
      </c>
      <c r="C55" s="24" t="str">
        <f>IF(SUMIF('Big Board (by rank)'!$D:$D,$D55,'Big Board (by rank)'!C:C)=0,"",SUMIF('Big Board (by rank)'!$D:$D,$D55,'Big Board (by rank)'!C:C))</f>
        <v/>
      </c>
      <c r="D55" s="25" t="str">
        <f>IFERROR(VLOOKUP(I55,Selections!B:C,2,FALSE),"")</f>
        <v/>
      </c>
      <c r="E55" s="25" t="str">
        <f>IFERROR(VLOOKUP(D55,'Big Board (by rank)'!D:E,2,FALSE),"")</f>
        <v/>
      </c>
      <c r="F55" s="26"/>
      <c r="G55" s="24" t="str">
        <f>IF(SUMIF('Big Board (by rank)'!D:D,D55,'Big Board (by rank)'!G:G)=0,"",SUMIF('Big Board (by rank)'!D:D,D55,'Big Board (by rank)'!G:G))</f>
        <v/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</row>
    <row r="56">
      <c r="A56" s="24" t="str">
        <f>IF(SUMIF('Big Board (by rank)'!$D:$D,$D56,'Big Board (by rank)'!A:A)=0,"",SUMIF('Big Board (by rank)'!$D:$D,$D56,'Big Board (by rank)'!A:A))</f>
        <v/>
      </c>
      <c r="B56" s="24" t="str">
        <f>IF(SUMIF('Big Board (by rank)'!$D:$D,$D56,'Big Board (by rank)'!B:B)=0,"",SUMIF('Big Board (by rank)'!$D:$D,$D56,'Big Board (by rank)'!B:B))</f>
        <v/>
      </c>
      <c r="C56" s="24" t="str">
        <f>IF(SUMIF('Big Board (by rank)'!$D:$D,$D56,'Big Board (by rank)'!C:C)=0,"",SUMIF('Big Board (by rank)'!$D:$D,$D56,'Big Board (by rank)'!C:C))</f>
        <v/>
      </c>
      <c r="D56" s="25" t="str">
        <f>IFERROR(VLOOKUP(I56,Selections!B:C,2,FALSE),"")</f>
        <v/>
      </c>
      <c r="E56" s="25" t="str">
        <f>IFERROR(VLOOKUP(D56,'Big Board (by rank)'!D:E,2,FALSE),"")</f>
        <v/>
      </c>
      <c r="F56" s="26"/>
      <c r="G56" s="24" t="str">
        <f>IF(SUMIF('Big Board (by rank)'!D:D,D56,'Big Board (by rank)'!G:G)=0,"",SUMIF('Big Board (by rank)'!D:D,D56,'Big Board (by rank)'!G:G))</f>
        <v/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</row>
    <row r="57">
      <c r="A57" s="24" t="str">
        <f>IF(SUMIF('Big Board (by rank)'!$D:$D,$D57,'Big Board (by rank)'!A:A)=0,"",SUMIF('Big Board (by rank)'!$D:$D,$D57,'Big Board (by rank)'!A:A))</f>
        <v/>
      </c>
      <c r="B57" s="24" t="str">
        <f>IF(SUMIF('Big Board (by rank)'!$D:$D,$D57,'Big Board (by rank)'!B:B)=0,"",SUMIF('Big Board (by rank)'!$D:$D,$D57,'Big Board (by rank)'!B:B))</f>
        <v/>
      </c>
      <c r="C57" s="24" t="str">
        <f>IF(SUMIF('Big Board (by rank)'!$D:$D,$D57,'Big Board (by rank)'!C:C)=0,"",SUMIF('Big Board (by rank)'!$D:$D,$D57,'Big Board (by rank)'!C:C))</f>
        <v/>
      </c>
      <c r="D57" s="25" t="str">
        <f>IFERROR(VLOOKUP(I57,Selections!B:C,2,FALSE),"")</f>
        <v/>
      </c>
      <c r="E57" s="25" t="str">
        <f>IFERROR(VLOOKUP(D57,'Big Board (by rank)'!D:E,2,FALSE),"")</f>
        <v/>
      </c>
      <c r="F57" s="26"/>
      <c r="G57" s="24" t="str">
        <f>IF(SUMIF('Big Board (by rank)'!D:D,D57,'Big Board (by rank)'!G:G)=0,"",SUMIF('Big Board (by rank)'!D:D,D57,'Big Board (by rank)'!G:G))</f>
        <v/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</row>
    <row r="58">
      <c r="A58" s="24" t="str">
        <f>IF(SUMIF('Big Board (by rank)'!$D:$D,$D58,'Big Board (by rank)'!A:A)=0,"",SUMIF('Big Board (by rank)'!$D:$D,$D58,'Big Board (by rank)'!A:A))</f>
        <v/>
      </c>
      <c r="B58" s="24" t="str">
        <f>IF(SUMIF('Big Board (by rank)'!$D:$D,$D58,'Big Board (by rank)'!B:B)=0,"",SUMIF('Big Board (by rank)'!$D:$D,$D58,'Big Board (by rank)'!B:B))</f>
        <v/>
      </c>
      <c r="C58" s="24" t="str">
        <f>IF(SUMIF('Big Board (by rank)'!$D:$D,$D58,'Big Board (by rank)'!C:C)=0,"",SUMIF('Big Board (by rank)'!$D:$D,$D58,'Big Board (by rank)'!C:C))</f>
        <v/>
      </c>
      <c r="D58" s="25" t="str">
        <f>IFERROR(VLOOKUP(I58,Selections!B:C,2,FALSE),"")</f>
        <v/>
      </c>
      <c r="E58" s="25" t="str">
        <f>IFERROR(VLOOKUP(D58,'Big Board (by rank)'!D:E,2,FALSE),"")</f>
        <v/>
      </c>
      <c r="F58" s="26"/>
      <c r="G58" s="24" t="str">
        <f>IF(SUMIF('Big Board (by rank)'!D:D,D58,'Big Board (by rank)'!G:G)=0,"",SUMIF('Big Board (by rank)'!D:D,D58,'Big Board (by rank)'!G:G))</f>
        <v/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>
      <c r="A59" s="24" t="str">
        <f>IF(SUMIF('Big Board (by rank)'!$D:$D,$D59,'Big Board (by rank)'!A:A)=0,"",SUMIF('Big Board (by rank)'!$D:$D,$D59,'Big Board (by rank)'!A:A))</f>
        <v/>
      </c>
      <c r="B59" s="24" t="str">
        <f>IF(SUMIF('Big Board (by rank)'!$D:$D,$D59,'Big Board (by rank)'!B:B)=0,"",SUMIF('Big Board (by rank)'!$D:$D,$D59,'Big Board (by rank)'!B:B))</f>
        <v/>
      </c>
      <c r="C59" s="24" t="str">
        <f>IF(SUMIF('Big Board (by rank)'!$D:$D,$D59,'Big Board (by rank)'!C:C)=0,"",SUMIF('Big Board (by rank)'!$D:$D,$D59,'Big Board (by rank)'!C:C))</f>
        <v/>
      </c>
      <c r="D59" s="25" t="str">
        <f>IFERROR(VLOOKUP(I59,Selections!B:C,2,FALSE),"")</f>
        <v/>
      </c>
      <c r="E59" s="25" t="str">
        <f>IFERROR(VLOOKUP(D59,'Big Board (by rank)'!D:E,2,FALSE),"")</f>
        <v/>
      </c>
      <c r="F59" s="26"/>
      <c r="G59" s="24" t="str">
        <f>IF(SUMIF('Big Board (by rank)'!D:D,D59,'Big Board (by rank)'!G:G)=0,"",SUMIF('Big Board (by rank)'!D:D,D59,'Big Board (by rank)'!G:G))</f>
        <v/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>
      <c r="A60" s="24" t="str">
        <f>IF(SUMIF('Big Board (by rank)'!$D:$D,$D60,'Big Board (by rank)'!A:A)=0,"",SUMIF('Big Board (by rank)'!$D:$D,$D60,'Big Board (by rank)'!A:A))</f>
        <v/>
      </c>
      <c r="B60" s="24" t="str">
        <f>IF(SUMIF('Big Board (by rank)'!$D:$D,$D60,'Big Board (by rank)'!B:B)=0,"",SUMIF('Big Board (by rank)'!$D:$D,$D60,'Big Board (by rank)'!B:B))</f>
        <v/>
      </c>
      <c r="C60" s="24" t="str">
        <f>IF(SUMIF('Big Board (by rank)'!$D:$D,$D60,'Big Board (by rank)'!C:C)=0,"",SUMIF('Big Board (by rank)'!$D:$D,$D60,'Big Board (by rank)'!C:C))</f>
        <v/>
      </c>
      <c r="D60" s="25" t="str">
        <f>IFERROR(VLOOKUP(I60,Selections!B:C,2,FALSE),"")</f>
        <v/>
      </c>
      <c r="E60" s="25" t="str">
        <f>IFERROR(VLOOKUP(D60,'Big Board (by rank)'!D:E,2,FALSE),"")</f>
        <v/>
      </c>
      <c r="F60" s="26"/>
      <c r="G60" s="24" t="str">
        <f>IF(SUMIF('Big Board (by rank)'!D:D,D60,'Big Board (by rank)'!G:G)=0,"",SUMIF('Big Board (by rank)'!D:D,D60,'Big Board (by rank)'!G:G))</f>
        <v/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>
      <c r="A61" s="24" t="str">
        <f>IF(SUMIF('Big Board (by rank)'!$D:$D,$D61,'Big Board (by rank)'!A:A)=0,"",SUMIF('Big Board (by rank)'!$D:$D,$D61,'Big Board (by rank)'!A:A))</f>
        <v/>
      </c>
      <c r="B61" s="24" t="str">
        <f>IF(SUMIF('Big Board (by rank)'!$D:$D,$D61,'Big Board (by rank)'!B:B)=0,"",SUMIF('Big Board (by rank)'!$D:$D,$D61,'Big Board (by rank)'!B:B))</f>
        <v/>
      </c>
      <c r="C61" s="24" t="str">
        <f>IF(SUMIF('Big Board (by rank)'!$D:$D,$D61,'Big Board (by rank)'!C:C)=0,"",SUMIF('Big Board (by rank)'!$D:$D,$D61,'Big Board (by rank)'!C:C))</f>
        <v/>
      </c>
      <c r="D61" s="25" t="str">
        <f>IFERROR(VLOOKUP(I61,Selections!B:C,2,FALSE),"")</f>
        <v/>
      </c>
      <c r="E61" s="25" t="str">
        <f>IFERROR(VLOOKUP(D61,'Big Board (by rank)'!D:E,2,FALSE),"")</f>
        <v/>
      </c>
      <c r="F61" s="26"/>
      <c r="G61" s="24" t="str">
        <f>IF(SUMIF('Big Board (by rank)'!D:D,D61,'Big Board (by rank)'!G:G)=0,"",SUMIF('Big Board (by rank)'!D:D,D61,'Big Board (by rank)'!G:G))</f>
        <v/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>
      <c r="A62" s="24" t="str">
        <f>IF(SUMIF('Big Board (by rank)'!$D:$D,$D62,'Big Board (by rank)'!A:A)=0,"",SUMIF('Big Board (by rank)'!$D:$D,$D62,'Big Board (by rank)'!A:A))</f>
        <v/>
      </c>
      <c r="B62" s="24" t="str">
        <f>IF(SUMIF('Big Board (by rank)'!$D:$D,$D62,'Big Board (by rank)'!B:B)=0,"",SUMIF('Big Board (by rank)'!$D:$D,$D62,'Big Board (by rank)'!B:B))</f>
        <v/>
      </c>
      <c r="C62" s="24" t="str">
        <f>IF(SUMIF('Big Board (by rank)'!$D:$D,$D62,'Big Board (by rank)'!C:C)=0,"",SUMIF('Big Board (by rank)'!$D:$D,$D62,'Big Board (by rank)'!C:C))</f>
        <v/>
      </c>
      <c r="D62" s="25" t="str">
        <f>IFERROR(VLOOKUP(I62,Selections!B:C,2,FALSE),"")</f>
        <v/>
      </c>
      <c r="E62" s="25" t="str">
        <f>IFERROR(VLOOKUP(D62,'Big Board (by rank)'!D:E,2,FALSE),"")</f>
        <v/>
      </c>
      <c r="F62" s="26"/>
      <c r="G62" s="24" t="str">
        <f>IF(SUMIF('Big Board (by rank)'!D:D,D62,'Big Board (by rank)'!G:G)=0,"",SUMIF('Big Board (by rank)'!D:D,D62,'Big Board (by rank)'!G:G))</f>
        <v/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>
      <c r="A63" s="24" t="str">
        <f>IF(SUMIF('Big Board (by rank)'!$D:$D,$D63,'Big Board (by rank)'!A:A)=0,"",SUMIF('Big Board (by rank)'!$D:$D,$D63,'Big Board (by rank)'!A:A))</f>
        <v/>
      </c>
      <c r="B63" s="24" t="str">
        <f>IF(SUMIF('Big Board (by rank)'!$D:$D,$D63,'Big Board (by rank)'!B:B)=0,"",SUMIF('Big Board (by rank)'!$D:$D,$D63,'Big Board (by rank)'!B:B))</f>
        <v/>
      </c>
      <c r="C63" s="24" t="str">
        <f>IF(SUMIF('Big Board (by rank)'!$D:$D,$D63,'Big Board (by rank)'!C:C)=0,"",SUMIF('Big Board (by rank)'!$D:$D,$D63,'Big Board (by rank)'!C:C))</f>
        <v/>
      </c>
      <c r="D63" s="25" t="str">
        <f>IFERROR(VLOOKUP(I63,Selections!B:C,2,FALSE),"")</f>
        <v/>
      </c>
      <c r="E63" s="25" t="str">
        <f>IFERROR(VLOOKUP(D63,'Big Board (by rank)'!D:E,2,FALSE),"")</f>
        <v/>
      </c>
      <c r="F63" s="26"/>
      <c r="G63" s="24" t="str">
        <f>IF(SUMIF('Big Board (by rank)'!D:D,D63,'Big Board (by rank)'!G:G)=0,"",SUMIF('Big Board (by rank)'!D:D,D63,'Big Board (by rank)'!G:G))</f>
        <v/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>
      <c r="A64" s="24" t="str">
        <f>IF(SUMIF('Big Board (by rank)'!$D:$D,$D64,'Big Board (by rank)'!A:A)=0,"",SUMIF('Big Board (by rank)'!$D:$D,$D64,'Big Board (by rank)'!A:A))</f>
        <v/>
      </c>
      <c r="B64" s="24" t="str">
        <f>IF(SUMIF('Big Board (by rank)'!$D:$D,$D64,'Big Board (by rank)'!B:B)=0,"",SUMIF('Big Board (by rank)'!$D:$D,$D64,'Big Board (by rank)'!B:B))</f>
        <v/>
      </c>
      <c r="C64" s="24" t="str">
        <f>IF(SUMIF('Big Board (by rank)'!$D:$D,$D64,'Big Board (by rank)'!C:C)=0,"",SUMIF('Big Board (by rank)'!$D:$D,$D64,'Big Board (by rank)'!C:C))</f>
        <v/>
      </c>
      <c r="D64" s="25" t="str">
        <f>IFERROR(VLOOKUP(I64,Selections!B:C,2,FALSE),"")</f>
        <v/>
      </c>
      <c r="E64" s="25" t="str">
        <f>IFERROR(VLOOKUP(D64,'Big Board (by rank)'!D:E,2,FALSE),"")</f>
        <v/>
      </c>
      <c r="F64" s="26"/>
      <c r="G64" s="24" t="str">
        <f>IF(SUMIF('Big Board (by rank)'!D:D,D64,'Big Board (by rank)'!G:G)=0,"",SUMIF('Big Board (by rank)'!D:D,D64,'Big Board (by rank)'!G:G))</f>
        <v/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>
      <c r="A65" s="24" t="str">
        <f>IF(SUMIF('Big Board (by rank)'!$D:$D,$D65,'Big Board (by rank)'!A:A)=0,"",SUMIF('Big Board (by rank)'!$D:$D,$D65,'Big Board (by rank)'!A:A))</f>
        <v/>
      </c>
      <c r="B65" s="24" t="str">
        <f>IF(SUMIF('Big Board (by rank)'!$D:$D,$D65,'Big Board (by rank)'!B:B)=0,"",SUMIF('Big Board (by rank)'!$D:$D,$D65,'Big Board (by rank)'!B:B))</f>
        <v/>
      </c>
      <c r="C65" s="24" t="str">
        <f>IF(SUMIF('Big Board (by rank)'!$D:$D,$D65,'Big Board (by rank)'!C:C)=0,"",SUMIF('Big Board (by rank)'!$D:$D,$D65,'Big Board (by rank)'!C:C))</f>
        <v/>
      </c>
      <c r="D65" s="25" t="str">
        <f>IFERROR(VLOOKUP(I65,Selections!B:C,2,FALSE),"")</f>
        <v/>
      </c>
      <c r="E65" s="25" t="str">
        <f>IFERROR(VLOOKUP(D65,'Big Board (by rank)'!D:E,2,FALSE),"")</f>
        <v/>
      </c>
      <c r="F65" s="26"/>
      <c r="G65" s="24" t="str">
        <f>IF(SUMIF('Big Board (by rank)'!D:D,D65,'Big Board (by rank)'!G:G)=0,"",SUMIF('Big Board (by rank)'!D:D,D65,'Big Board (by rank)'!G:G))</f>
        <v/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>
      <c r="A66" s="24" t="str">
        <f>IF(SUMIF('Big Board (by rank)'!$D:$D,$D66,'Big Board (by rank)'!A:A)=0,"",SUMIF('Big Board (by rank)'!$D:$D,$D66,'Big Board (by rank)'!A:A))</f>
        <v/>
      </c>
      <c r="B66" s="24" t="str">
        <f>IF(SUMIF('Big Board (by rank)'!$D:$D,$D66,'Big Board (by rank)'!B:B)=0,"",SUMIF('Big Board (by rank)'!$D:$D,$D66,'Big Board (by rank)'!B:B))</f>
        <v/>
      </c>
      <c r="C66" s="24" t="str">
        <f>IF(SUMIF('Big Board (by rank)'!$D:$D,$D66,'Big Board (by rank)'!C:C)=0,"",SUMIF('Big Board (by rank)'!$D:$D,$D66,'Big Board (by rank)'!C:C))</f>
        <v/>
      </c>
      <c r="D66" s="25" t="str">
        <f>IFERROR(VLOOKUP(I66,Selections!B:C,2,FALSE),"")</f>
        <v/>
      </c>
      <c r="E66" s="25" t="str">
        <f>IFERROR(VLOOKUP(D66,'Big Board (by rank)'!D:E,2,FALSE),"")</f>
        <v/>
      </c>
      <c r="F66" s="26"/>
      <c r="G66" s="24" t="str">
        <f>IF(SUMIF('Big Board (by rank)'!D:D,D66,'Big Board (by rank)'!G:G)=0,"",SUMIF('Big Board (by rank)'!D:D,D66,'Big Board (by rank)'!G:G))</f>
        <v/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</row>
    <row r="67">
      <c r="A67" s="24" t="str">
        <f>IF(SUMIF('Big Board (by rank)'!$D:$D,$D67,'Big Board (by rank)'!A:A)=0,"",SUMIF('Big Board (by rank)'!$D:$D,$D67,'Big Board (by rank)'!A:A))</f>
        <v/>
      </c>
      <c r="B67" s="24" t="str">
        <f>IF(SUMIF('Big Board (by rank)'!$D:$D,$D67,'Big Board (by rank)'!B:B)=0,"",SUMIF('Big Board (by rank)'!$D:$D,$D67,'Big Board (by rank)'!B:B))</f>
        <v/>
      </c>
      <c r="C67" s="24" t="str">
        <f>IF(SUMIF('Big Board (by rank)'!$D:$D,$D67,'Big Board (by rank)'!C:C)=0,"",SUMIF('Big Board (by rank)'!$D:$D,$D67,'Big Board (by rank)'!C:C))</f>
        <v/>
      </c>
      <c r="D67" s="25" t="str">
        <f>IFERROR(VLOOKUP(I67,Selections!B:C,2,FALSE),"")</f>
        <v/>
      </c>
      <c r="E67" s="25" t="str">
        <f>IFERROR(VLOOKUP(D67,'Big Board (by rank)'!D:E,2,FALSE),"")</f>
        <v/>
      </c>
      <c r="F67" s="26"/>
      <c r="G67" s="24" t="str">
        <f>IF(SUMIF('Big Board (by rank)'!D:D,D67,'Big Board (by rank)'!G:G)=0,"",SUMIF('Big Board (by rank)'!D:D,D67,'Big Board (by rank)'!G:G))</f>
        <v/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>
      <c r="A68" s="24" t="str">
        <f>IF(SUMIF('Big Board (by rank)'!$D:$D,$D68,'Big Board (by rank)'!A:A)=0,"",SUMIF('Big Board (by rank)'!$D:$D,$D68,'Big Board (by rank)'!A:A))</f>
        <v/>
      </c>
      <c r="B68" s="24" t="str">
        <f>IF(SUMIF('Big Board (by rank)'!$D:$D,$D68,'Big Board (by rank)'!B:B)=0,"",SUMIF('Big Board (by rank)'!$D:$D,$D68,'Big Board (by rank)'!B:B))</f>
        <v/>
      </c>
      <c r="C68" s="24" t="str">
        <f>IF(SUMIF('Big Board (by rank)'!$D:$D,$D68,'Big Board (by rank)'!C:C)=0,"",SUMIF('Big Board (by rank)'!$D:$D,$D68,'Big Board (by rank)'!C:C))</f>
        <v/>
      </c>
      <c r="D68" s="25" t="str">
        <f>IFERROR(VLOOKUP(I68,Selections!B:C,2,FALSE),"")</f>
        <v/>
      </c>
      <c r="E68" s="25" t="str">
        <f>IFERROR(VLOOKUP(D68,'Big Board (by rank)'!D:E,2,FALSE),"")</f>
        <v/>
      </c>
      <c r="F68" s="26"/>
      <c r="G68" s="24" t="str">
        <f>IF(SUMIF('Big Board (by rank)'!D:D,D68,'Big Board (by rank)'!G:G)=0,"",SUMIF('Big Board (by rank)'!D:D,D68,'Big Board (by rank)'!G:G))</f>
        <v/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>
      <c r="A69" s="24" t="str">
        <f>IF(SUMIF('Big Board (by rank)'!$D:$D,$D69,'Big Board (by rank)'!A:A)=0,"",SUMIF('Big Board (by rank)'!$D:$D,$D69,'Big Board (by rank)'!A:A))</f>
        <v/>
      </c>
      <c r="B69" s="24" t="str">
        <f>IF(SUMIF('Big Board (by rank)'!$D:$D,$D69,'Big Board (by rank)'!B:B)=0,"",SUMIF('Big Board (by rank)'!$D:$D,$D69,'Big Board (by rank)'!B:B))</f>
        <v/>
      </c>
      <c r="C69" s="24" t="str">
        <f>IF(SUMIF('Big Board (by rank)'!$D:$D,$D69,'Big Board (by rank)'!C:C)=0,"",SUMIF('Big Board (by rank)'!$D:$D,$D69,'Big Board (by rank)'!C:C))</f>
        <v/>
      </c>
      <c r="D69" s="25" t="str">
        <f>IFERROR(VLOOKUP(I69,Selections!B:C,2,FALSE),"")</f>
        <v/>
      </c>
      <c r="E69" s="25" t="str">
        <f>IFERROR(VLOOKUP(D69,'Big Board (by rank)'!D:E,2,FALSE),"")</f>
        <v/>
      </c>
      <c r="F69" s="26"/>
      <c r="G69" s="24" t="str">
        <f>IF(SUMIF('Big Board (by rank)'!D:D,D69,'Big Board (by rank)'!G:G)=0,"",SUMIF('Big Board (by rank)'!D:D,D69,'Big Board (by rank)'!G:G))</f>
        <v/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</row>
    <row r="70">
      <c r="A70" s="24" t="str">
        <f>IF(SUMIF('Big Board (by rank)'!$D:$D,$D70,'Big Board (by rank)'!A:A)=0,"",SUMIF('Big Board (by rank)'!$D:$D,$D70,'Big Board (by rank)'!A:A))</f>
        <v/>
      </c>
      <c r="B70" s="24" t="str">
        <f>IF(SUMIF('Big Board (by rank)'!$D:$D,$D70,'Big Board (by rank)'!B:B)=0,"",SUMIF('Big Board (by rank)'!$D:$D,$D70,'Big Board (by rank)'!B:B))</f>
        <v/>
      </c>
      <c r="C70" s="24" t="str">
        <f>IF(SUMIF('Big Board (by rank)'!$D:$D,$D70,'Big Board (by rank)'!C:C)=0,"",SUMIF('Big Board (by rank)'!$D:$D,$D70,'Big Board (by rank)'!C:C))</f>
        <v/>
      </c>
      <c r="D70" s="25" t="str">
        <f>IFERROR(VLOOKUP(I70,Selections!B:C,2,FALSE),"")</f>
        <v/>
      </c>
      <c r="E70" s="25" t="str">
        <f>IFERROR(VLOOKUP(D70,'Big Board (by rank)'!D:E,2,FALSE),"")</f>
        <v/>
      </c>
      <c r="F70" s="26"/>
      <c r="G70" s="24" t="str">
        <f>IF(SUMIF('Big Board (by rank)'!D:D,D70,'Big Board (by rank)'!G:G)=0,"",SUMIF('Big Board (by rank)'!D:D,D70,'Big Board (by rank)'!G:G))</f>
        <v/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>
      <c r="A71" s="24" t="str">
        <f>IF(SUMIF('Big Board (by rank)'!$D:$D,$D71,'Big Board (by rank)'!A:A)=0,"",SUMIF('Big Board (by rank)'!$D:$D,$D71,'Big Board (by rank)'!A:A))</f>
        <v/>
      </c>
      <c r="B71" s="24" t="str">
        <f>IF(SUMIF('Big Board (by rank)'!$D:$D,$D71,'Big Board (by rank)'!B:B)=0,"",SUMIF('Big Board (by rank)'!$D:$D,$D71,'Big Board (by rank)'!B:B))</f>
        <v/>
      </c>
      <c r="C71" s="24" t="str">
        <f>IF(SUMIF('Big Board (by rank)'!$D:$D,$D71,'Big Board (by rank)'!C:C)=0,"",SUMIF('Big Board (by rank)'!$D:$D,$D71,'Big Board (by rank)'!C:C))</f>
        <v/>
      </c>
      <c r="D71" s="25" t="str">
        <f>IFERROR(VLOOKUP(I71,Selections!B:C,2,FALSE),"")</f>
        <v/>
      </c>
      <c r="E71" s="25" t="str">
        <f>IFERROR(VLOOKUP(D71,'Big Board (by rank)'!D:E,2,FALSE),"")</f>
        <v/>
      </c>
      <c r="F71" s="26"/>
      <c r="G71" s="24" t="str">
        <f>IF(SUMIF('Big Board (by rank)'!D:D,D71,'Big Board (by rank)'!G:G)=0,"",SUMIF('Big Board (by rank)'!D:D,D71,'Big Board (by rank)'!G:G))</f>
        <v/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>
      <c r="A72" s="24" t="str">
        <f>IF(SUMIF('Big Board (by rank)'!$D:$D,$D72,'Big Board (by rank)'!A:A)=0,"",SUMIF('Big Board (by rank)'!$D:$D,$D72,'Big Board (by rank)'!A:A))</f>
        <v/>
      </c>
      <c r="B72" s="24" t="str">
        <f>IF(SUMIF('Big Board (by rank)'!$D:$D,$D72,'Big Board (by rank)'!B:B)=0,"",SUMIF('Big Board (by rank)'!$D:$D,$D72,'Big Board (by rank)'!B:B))</f>
        <v/>
      </c>
      <c r="C72" s="24" t="str">
        <f>IF(SUMIF('Big Board (by rank)'!$D:$D,$D72,'Big Board (by rank)'!C:C)=0,"",SUMIF('Big Board (by rank)'!$D:$D,$D72,'Big Board (by rank)'!C:C))</f>
        <v/>
      </c>
      <c r="D72" s="25" t="str">
        <f>IFERROR(VLOOKUP(I72,Selections!B:C,2,FALSE),"")</f>
        <v/>
      </c>
      <c r="E72" s="25" t="str">
        <f>IFERROR(VLOOKUP(D72,'Big Board (by rank)'!D:E,2,FALSE),"")</f>
        <v/>
      </c>
      <c r="F72" s="26"/>
      <c r="G72" s="24" t="str">
        <f>IF(SUMIF('Big Board (by rank)'!D:D,D72,'Big Board (by rank)'!G:G)=0,"",SUMIF('Big Board (by rank)'!D:D,D72,'Big Board (by rank)'!G:G))</f>
        <v/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>
      <c r="A73" s="24" t="str">
        <f>IF(SUMIF('Big Board (by rank)'!$D:$D,$D73,'Big Board (by rank)'!A:A)=0,"",SUMIF('Big Board (by rank)'!$D:$D,$D73,'Big Board (by rank)'!A:A))</f>
        <v/>
      </c>
      <c r="B73" s="24" t="str">
        <f>IF(SUMIF('Big Board (by rank)'!$D:$D,$D73,'Big Board (by rank)'!B:B)=0,"",SUMIF('Big Board (by rank)'!$D:$D,$D73,'Big Board (by rank)'!B:B))</f>
        <v/>
      </c>
      <c r="C73" s="24" t="str">
        <f>IF(SUMIF('Big Board (by rank)'!$D:$D,$D73,'Big Board (by rank)'!C:C)=0,"",SUMIF('Big Board (by rank)'!$D:$D,$D73,'Big Board (by rank)'!C:C))</f>
        <v/>
      </c>
      <c r="D73" s="25" t="str">
        <f>IFERROR(VLOOKUP(I73,Selections!B:C,2,FALSE),"")</f>
        <v/>
      </c>
      <c r="E73" s="25" t="str">
        <f>IFERROR(VLOOKUP(D73,'Big Board (by rank)'!D:E,2,FALSE),"")</f>
        <v/>
      </c>
      <c r="F73" s="26"/>
      <c r="G73" s="24" t="str">
        <f>IF(SUMIF('Big Board (by rank)'!D:D,D73,'Big Board (by rank)'!G:G)=0,"",SUMIF('Big Board (by rank)'!D:D,D73,'Big Board (by rank)'!G:G))</f>
        <v/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>
      <c r="A74" s="24" t="str">
        <f>IF(SUMIF('Big Board (by rank)'!$D:$D,$D74,'Big Board (by rank)'!A:A)=0,"",SUMIF('Big Board (by rank)'!$D:$D,$D74,'Big Board (by rank)'!A:A))</f>
        <v/>
      </c>
      <c r="B74" s="24" t="str">
        <f>IF(SUMIF('Big Board (by rank)'!$D:$D,$D74,'Big Board (by rank)'!B:B)=0,"",SUMIF('Big Board (by rank)'!$D:$D,$D74,'Big Board (by rank)'!B:B))</f>
        <v/>
      </c>
      <c r="C74" s="24" t="str">
        <f>IF(SUMIF('Big Board (by rank)'!$D:$D,$D74,'Big Board (by rank)'!C:C)=0,"",SUMIF('Big Board (by rank)'!$D:$D,$D74,'Big Board (by rank)'!C:C))</f>
        <v/>
      </c>
      <c r="D74" s="25" t="str">
        <f>IFERROR(VLOOKUP(I74,Selections!B:C,2,FALSE),"")</f>
        <v/>
      </c>
      <c r="E74" s="25" t="str">
        <f>IFERROR(VLOOKUP(D74,'Big Board (by rank)'!D:E,2,FALSE),"")</f>
        <v/>
      </c>
      <c r="F74" s="26"/>
      <c r="G74" s="24" t="str">
        <f>IF(SUMIF('Big Board (by rank)'!D:D,D74,'Big Board (by rank)'!G:G)=0,"",SUMIF('Big Board (by rank)'!D:D,D74,'Big Board (by rank)'!G:G))</f>
        <v/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</row>
    <row r="75">
      <c r="A75" s="24" t="str">
        <f>IF(SUMIF('Big Board (by rank)'!$D:$D,$D75,'Big Board (by rank)'!A:A)=0,"",SUMIF('Big Board (by rank)'!$D:$D,$D75,'Big Board (by rank)'!A:A))</f>
        <v/>
      </c>
      <c r="B75" s="24" t="str">
        <f>IF(SUMIF('Big Board (by rank)'!$D:$D,$D75,'Big Board (by rank)'!B:B)=0,"",SUMIF('Big Board (by rank)'!$D:$D,$D75,'Big Board (by rank)'!B:B))</f>
        <v/>
      </c>
      <c r="C75" s="24" t="str">
        <f>IF(SUMIF('Big Board (by rank)'!$D:$D,$D75,'Big Board (by rank)'!C:C)=0,"",SUMIF('Big Board (by rank)'!$D:$D,$D75,'Big Board (by rank)'!C:C))</f>
        <v/>
      </c>
      <c r="D75" s="25" t="str">
        <f>IFERROR(VLOOKUP(I75,Selections!B:C,2,FALSE),"")</f>
        <v/>
      </c>
      <c r="E75" s="25" t="str">
        <f>IFERROR(VLOOKUP(D75,'Big Board (by rank)'!D:E,2,FALSE),"")</f>
        <v/>
      </c>
      <c r="F75" s="26"/>
      <c r="G75" s="24" t="str">
        <f>IF(SUMIF('Big Board (by rank)'!D:D,D75,'Big Board (by rank)'!G:G)=0,"",SUMIF('Big Board (by rank)'!D:D,D75,'Big Board (by rank)'!G:G))</f>
        <v/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>
      <c r="A76" s="24" t="str">
        <f>IF(SUMIF('Big Board (by rank)'!$D:$D,$D76,'Big Board (by rank)'!A:A)=0,"",SUMIF('Big Board (by rank)'!$D:$D,$D76,'Big Board (by rank)'!A:A))</f>
        <v/>
      </c>
      <c r="B76" s="24" t="str">
        <f>IF(SUMIF('Big Board (by rank)'!$D:$D,$D76,'Big Board (by rank)'!B:B)=0,"",SUMIF('Big Board (by rank)'!$D:$D,$D76,'Big Board (by rank)'!B:B))</f>
        <v/>
      </c>
      <c r="C76" s="24" t="str">
        <f>IF(SUMIF('Big Board (by rank)'!$D:$D,$D76,'Big Board (by rank)'!C:C)=0,"",SUMIF('Big Board (by rank)'!$D:$D,$D76,'Big Board (by rank)'!C:C))</f>
        <v/>
      </c>
      <c r="D76" s="25" t="str">
        <f>IFERROR(VLOOKUP(I76,Selections!B:C,2,FALSE),"")</f>
        <v/>
      </c>
      <c r="E76" s="25" t="str">
        <f>IFERROR(VLOOKUP(D76,'Big Board (by rank)'!D:E,2,FALSE),"")</f>
        <v/>
      </c>
      <c r="F76" s="26"/>
      <c r="G76" s="24" t="str">
        <f>IF(SUMIF('Big Board (by rank)'!D:D,D76,'Big Board (by rank)'!G:G)=0,"",SUMIF('Big Board (by rank)'!D:D,D76,'Big Board (by rank)'!G:G))</f>
        <v/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</row>
    <row r="77">
      <c r="A77" s="24" t="str">
        <f>IF(SUMIF('Big Board (by rank)'!$D:$D,$D77,'Big Board (by rank)'!A:A)=0,"",SUMIF('Big Board (by rank)'!$D:$D,$D77,'Big Board (by rank)'!A:A))</f>
        <v/>
      </c>
      <c r="B77" s="24" t="str">
        <f>IF(SUMIF('Big Board (by rank)'!$D:$D,$D77,'Big Board (by rank)'!B:B)=0,"",SUMIF('Big Board (by rank)'!$D:$D,$D77,'Big Board (by rank)'!B:B))</f>
        <v/>
      </c>
      <c r="C77" s="24" t="str">
        <f>IF(SUMIF('Big Board (by rank)'!$D:$D,$D77,'Big Board (by rank)'!C:C)=0,"",SUMIF('Big Board (by rank)'!$D:$D,$D77,'Big Board (by rank)'!C:C))</f>
        <v/>
      </c>
      <c r="D77" s="25" t="str">
        <f>IFERROR(VLOOKUP(I77,Selections!B:C,2,FALSE),"")</f>
        <v/>
      </c>
      <c r="E77" s="25" t="str">
        <f>IFERROR(VLOOKUP(D77,'Big Board (by rank)'!D:E,2,FALSE),"")</f>
        <v/>
      </c>
      <c r="F77" s="26"/>
      <c r="G77" s="24" t="str">
        <f>IF(SUMIF('Big Board (by rank)'!D:D,D77,'Big Board (by rank)'!G:G)=0,"",SUMIF('Big Board (by rank)'!D:D,D77,'Big Board (by rank)'!G:G))</f>
        <v/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>
      <c r="A78" s="24" t="str">
        <f>IF(SUMIF('Big Board (by rank)'!$D:$D,$D78,'Big Board (by rank)'!A:A)=0,"",SUMIF('Big Board (by rank)'!$D:$D,$D78,'Big Board (by rank)'!A:A))</f>
        <v/>
      </c>
      <c r="B78" s="24" t="str">
        <f>IF(SUMIF('Big Board (by rank)'!$D:$D,$D78,'Big Board (by rank)'!B:B)=0,"",SUMIF('Big Board (by rank)'!$D:$D,$D78,'Big Board (by rank)'!B:B))</f>
        <v/>
      </c>
      <c r="C78" s="24" t="str">
        <f>IF(SUMIF('Big Board (by rank)'!$D:$D,$D78,'Big Board (by rank)'!C:C)=0,"",SUMIF('Big Board (by rank)'!$D:$D,$D78,'Big Board (by rank)'!C:C))</f>
        <v/>
      </c>
      <c r="D78" s="25" t="str">
        <f>IFERROR(VLOOKUP(I78,Selections!B:C,2,FALSE),"")</f>
        <v/>
      </c>
      <c r="E78" s="25" t="str">
        <f>IFERROR(VLOOKUP(D78,'Big Board (by rank)'!D:E,2,FALSE),"")</f>
        <v/>
      </c>
      <c r="F78" s="26"/>
      <c r="G78" s="24" t="str">
        <f>IF(SUMIF('Big Board (by rank)'!D:D,D78,'Big Board (by rank)'!G:G)=0,"",SUMIF('Big Board (by rank)'!D:D,D78,'Big Board (by rank)'!G:G))</f>
        <v/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</row>
    <row r="79">
      <c r="A79" s="24" t="str">
        <f>IF(SUMIF('Big Board (by rank)'!$D:$D,$D79,'Big Board (by rank)'!A:A)=0,"",SUMIF('Big Board (by rank)'!$D:$D,$D79,'Big Board (by rank)'!A:A))</f>
        <v/>
      </c>
      <c r="B79" s="24" t="str">
        <f>IF(SUMIF('Big Board (by rank)'!$D:$D,$D79,'Big Board (by rank)'!B:B)=0,"",SUMIF('Big Board (by rank)'!$D:$D,$D79,'Big Board (by rank)'!B:B))</f>
        <v/>
      </c>
      <c r="C79" s="24" t="str">
        <f>IF(SUMIF('Big Board (by rank)'!$D:$D,$D79,'Big Board (by rank)'!C:C)=0,"",SUMIF('Big Board (by rank)'!$D:$D,$D79,'Big Board (by rank)'!C:C))</f>
        <v/>
      </c>
      <c r="D79" s="25" t="str">
        <f>IFERROR(VLOOKUP(I79,Selections!B:C,2,FALSE),"")</f>
        <v/>
      </c>
      <c r="E79" s="25" t="str">
        <f>IFERROR(VLOOKUP(D79,'Big Board (by rank)'!D:E,2,FALSE),"")</f>
        <v/>
      </c>
      <c r="F79" s="26"/>
      <c r="G79" s="24" t="str">
        <f>IF(SUMIF('Big Board (by rank)'!D:D,D79,'Big Board (by rank)'!G:G)=0,"",SUMIF('Big Board (by rank)'!D:D,D79,'Big Board (by rank)'!G:G))</f>
        <v/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>
      <c r="A80" s="24" t="str">
        <f>IF(SUMIF('Big Board (by rank)'!$D:$D,$D80,'Big Board (by rank)'!A:A)=0,"",SUMIF('Big Board (by rank)'!$D:$D,$D80,'Big Board (by rank)'!A:A))</f>
        <v/>
      </c>
      <c r="B80" s="24" t="str">
        <f>IF(SUMIF('Big Board (by rank)'!$D:$D,$D80,'Big Board (by rank)'!B:B)=0,"",SUMIF('Big Board (by rank)'!$D:$D,$D80,'Big Board (by rank)'!B:B))</f>
        <v/>
      </c>
      <c r="C80" s="24" t="str">
        <f>IF(SUMIF('Big Board (by rank)'!$D:$D,$D80,'Big Board (by rank)'!C:C)=0,"",SUMIF('Big Board (by rank)'!$D:$D,$D80,'Big Board (by rank)'!C:C))</f>
        <v/>
      </c>
      <c r="D80" s="25" t="str">
        <f>IFERROR(VLOOKUP(I80,Selections!B:C,2,FALSE),"")</f>
        <v/>
      </c>
      <c r="E80" s="25" t="str">
        <f>IFERROR(VLOOKUP(D80,'Big Board (by rank)'!D:E,2,FALSE),"")</f>
        <v/>
      </c>
      <c r="F80" s="26"/>
      <c r="G80" s="24" t="str">
        <f>IF(SUMIF('Big Board (by rank)'!D:D,D80,'Big Board (by rank)'!G:G)=0,"",SUMIF('Big Board (by rank)'!D:D,D80,'Big Board (by rank)'!G:G))</f>
        <v/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>
      <c r="A81" s="24" t="str">
        <f>IF(SUMIF('Big Board (by rank)'!$D:$D,$D81,'Big Board (by rank)'!A:A)=0,"",SUMIF('Big Board (by rank)'!$D:$D,$D81,'Big Board (by rank)'!A:A))</f>
        <v/>
      </c>
      <c r="B81" s="24" t="str">
        <f>IF(SUMIF('Big Board (by rank)'!$D:$D,$D81,'Big Board (by rank)'!B:B)=0,"",SUMIF('Big Board (by rank)'!$D:$D,$D81,'Big Board (by rank)'!B:B))</f>
        <v/>
      </c>
      <c r="C81" s="24" t="str">
        <f>IF(SUMIF('Big Board (by rank)'!$D:$D,$D81,'Big Board (by rank)'!C:C)=0,"",SUMIF('Big Board (by rank)'!$D:$D,$D81,'Big Board (by rank)'!C:C))</f>
        <v/>
      </c>
      <c r="D81" s="25" t="str">
        <f>IFERROR(VLOOKUP(I81,Selections!B:C,2,FALSE),"")</f>
        <v/>
      </c>
      <c r="E81" s="25" t="str">
        <f>IFERROR(VLOOKUP(D81,'Big Board (by rank)'!D:E,2,FALSE),"")</f>
        <v/>
      </c>
      <c r="F81" s="26"/>
      <c r="G81" s="24" t="str">
        <f>IF(SUMIF('Big Board (by rank)'!D:D,D81,'Big Board (by rank)'!G:G)=0,"",SUMIF('Big Board (by rank)'!D:D,D81,'Big Board (by rank)'!G:G))</f>
        <v/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</row>
    <row r="82">
      <c r="A82" s="24" t="str">
        <f>IF(SUMIF('Big Board (by rank)'!$D:$D,$D82,'Big Board (by rank)'!A:A)=0,"",SUMIF('Big Board (by rank)'!$D:$D,$D82,'Big Board (by rank)'!A:A))</f>
        <v/>
      </c>
      <c r="B82" s="24" t="str">
        <f>IF(SUMIF('Big Board (by rank)'!$D:$D,$D82,'Big Board (by rank)'!B:B)=0,"",SUMIF('Big Board (by rank)'!$D:$D,$D82,'Big Board (by rank)'!B:B))</f>
        <v/>
      </c>
      <c r="C82" s="24" t="str">
        <f>IF(SUMIF('Big Board (by rank)'!$D:$D,$D82,'Big Board (by rank)'!C:C)=0,"",SUMIF('Big Board (by rank)'!$D:$D,$D82,'Big Board (by rank)'!C:C))</f>
        <v/>
      </c>
      <c r="D82" s="25" t="str">
        <f>IFERROR(VLOOKUP(I82,Selections!B:C,2,FALSE),"")</f>
        <v/>
      </c>
      <c r="E82" s="25" t="str">
        <f>IFERROR(VLOOKUP(D82,'Big Board (by rank)'!D:E,2,FALSE),"")</f>
        <v/>
      </c>
      <c r="F82" s="26"/>
      <c r="G82" s="24" t="str">
        <f>IF(SUMIF('Big Board (by rank)'!D:D,D82,'Big Board (by rank)'!G:G)=0,"",SUMIF('Big Board (by rank)'!D:D,D82,'Big Board (by rank)'!G:G))</f>
        <v/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>
      <c r="A83" s="24" t="str">
        <f>IF(SUMIF('Big Board (by rank)'!$D:$D,$D83,'Big Board (by rank)'!A:A)=0,"",SUMIF('Big Board (by rank)'!$D:$D,$D83,'Big Board (by rank)'!A:A))</f>
        <v/>
      </c>
      <c r="B83" s="24" t="str">
        <f>IF(SUMIF('Big Board (by rank)'!$D:$D,$D83,'Big Board (by rank)'!B:B)=0,"",SUMIF('Big Board (by rank)'!$D:$D,$D83,'Big Board (by rank)'!B:B))</f>
        <v/>
      </c>
      <c r="C83" s="24" t="str">
        <f>IF(SUMIF('Big Board (by rank)'!$D:$D,$D83,'Big Board (by rank)'!C:C)=0,"",SUMIF('Big Board (by rank)'!$D:$D,$D83,'Big Board (by rank)'!C:C))</f>
        <v/>
      </c>
      <c r="D83" s="25" t="str">
        <f>IFERROR(VLOOKUP(I83,Selections!B:C,2,FALSE),"")</f>
        <v/>
      </c>
      <c r="E83" s="25" t="str">
        <f>IFERROR(VLOOKUP(D83,'Big Board (by rank)'!D:E,2,FALSE),"")</f>
        <v/>
      </c>
      <c r="F83" s="26"/>
      <c r="G83" s="24" t="str">
        <f>IF(SUMIF('Big Board (by rank)'!D:D,D83,'Big Board (by rank)'!G:G)=0,"",SUMIF('Big Board (by rank)'!D:D,D83,'Big Board (by rank)'!G:G))</f>
        <v/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>
      <c r="A84" s="24" t="str">
        <f>IF(SUMIF('Big Board (by rank)'!$D:$D,$D84,'Big Board (by rank)'!A:A)=0,"",SUMIF('Big Board (by rank)'!$D:$D,$D84,'Big Board (by rank)'!A:A))</f>
        <v/>
      </c>
      <c r="B84" s="24" t="str">
        <f>IF(SUMIF('Big Board (by rank)'!$D:$D,$D84,'Big Board (by rank)'!B:B)=0,"",SUMIF('Big Board (by rank)'!$D:$D,$D84,'Big Board (by rank)'!B:B))</f>
        <v/>
      </c>
      <c r="C84" s="24" t="str">
        <f>IF(SUMIF('Big Board (by rank)'!$D:$D,$D84,'Big Board (by rank)'!C:C)=0,"",SUMIF('Big Board (by rank)'!$D:$D,$D84,'Big Board (by rank)'!C:C))</f>
        <v/>
      </c>
      <c r="D84" s="25" t="str">
        <f>IFERROR(VLOOKUP(I84,Selections!B:C,2,FALSE),"")</f>
        <v/>
      </c>
      <c r="E84" s="25" t="str">
        <f>IFERROR(VLOOKUP(D84,'Big Board (by rank)'!D:E,2,FALSE),"")</f>
        <v/>
      </c>
      <c r="F84" s="26"/>
      <c r="G84" s="24" t="str">
        <f>IF(SUMIF('Big Board (by rank)'!D:D,D84,'Big Board (by rank)'!G:G)=0,"",SUMIF('Big Board (by rank)'!D:D,D84,'Big Board (by rank)'!G:G))</f>
        <v/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>
      <c r="A85" s="24" t="str">
        <f>IF(SUMIF('Big Board (by rank)'!$D:$D,$D85,'Big Board (by rank)'!A:A)=0,"",SUMIF('Big Board (by rank)'!$D:$D,$D85,'Big Board (by rank)'!A:A))</f>
        <v/>
      </c>
      <c r="B85" s="24" t="str">
        <f>IF(SUMIF('Big Board (by rank)'!$D:$D,$D85,'Big Board (by rank)'!B:B)=0,"",SUMIF('Big Board (by rank)'!$D:$D,$D85,'Big Board (by rank)'!B:B))</f>
        <v/>
      </c>
      <c r="C85" s="24" t="str">
        <f>IF(SUMIF('Big Board (by rank)'!$D:$D,$D85,'Big Board (by rank)'!C:C)=0,"",SUMIF('Big Board (by rank)'!$D:$D,$D85,'Big Board (by rank)'!C:C))</f>
        <v/>
      </c>
      <c r="D85" s="25" t="str">
        <f>IFERROR(VLOOKUP(I85,Selections!B:C,2,FALSE),"")</f>
        <v/>
      </c>
      <c r="E85" s="25" t="str">
        <f>IFERROR(VLOOKUP(D85,'Big Board (by rank)'!D:E,2,FALSE),"")</f>
        <v/>
      </c>
      <c r="F85" s="26"/>
      <c r="G85" s="24" t="str">
        <f>IF(SUMIF('Big Board (by rank)'!D:D,D85,'Big Board (by rank)'!G:G)=0,"",SUMIF('Big Board (by rank)'!D:D,D85,'Big Board (by rank)'!G:G))</f>
        <v/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>
      <c r="A86" s="24" t="str">
        <f>IF(SUMIF('Big Board (by rank)'!$D:$D,$D86,'Big Board (by rank)'!A:A)=0,"",SUMIF('Big Board (by rank)'!$D:$D,$D86,'Big Board (by rank)'!A:A))</f>
        <v/>
      </c>
      <c r="B86" s="24" t="str">
        <f>IF(SUMIF('Big Board (by rank)'!$D:$D,$D86,'Big Board (by rank)'!B:B)=0,"",SUMIF('Big Board (by rank)'!$D:$D,$D86,'Big Board (by rank)'!B:B))</f>
        <v/>
      </c>
      <c r="C86" s="24" t="str">
        <f>IF(SUMIF('Big Board (by rank)'!$D:$D,$D86,'Big Board (by rank)'!C:C)=0,"",SUMIF('Big Board (by rank)'!$D:$D,$D86,'Big Board (by rank)'!C:C))</f>
        <v/>
      </c>
      <c r="D86" s="25" t="str">
        <f>IFERROR(VLOOKUP(I86,Selections!B:C,2,FALSE),"")</f>
        <v/>
      </c>
      <c r="E86" s="25" t="str">
        <f>IFERROR(VLOOKUP(D86,'Big Board (by rank)'!D:E,2,FALSE),"")</f>
        <v/>
      </c>
      <c r="F86" s="26"/>
      <c r="G86" s="24" t="str">
        <f>IF(SUMIF('Big Board (by rank)'!D:D,D86,'Big Board (by rank)'!G:G)=0,"",SUMIF('Big Board (by rank)'!D:D,D86,'Big Board (by rank)'!G:G))</f>
        <v/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</row>
    <row r="87">
      <c r="A87" s="24" t="str">
        <f>IF(SUMIF('Big Board (by rank)'!$D:$D,$D87,'Big Board (by rank)'!A:A)=0,"",SUMIF('Big Board (by rank)'!$D:$D,$D87,'Big Board (by rank)'!A:A))</f>
        <v/>
      </c>
      <c r="B87" s="24" t="str">
        <f>IF(SUMIF('Big Board (by rank)'!$D:$D,$D87,'Big Board (by rank)'!B:B)=0,"",SUMIF('Big Board (by rank)'!$D:$D,$D87,'Big Board (by rank)'!B:B))</f>
        <v/>
      </c>
      <c r="C87" s="24" t="str">
        <f>IF(SUMIF('Big Board (by rank)'!$D:$D,$D87,'Big Board (by rank)'!C:C)=0,"",SUMIF('Big Board (by rank)'!$D:$D,$D87,'Big Board (by rank)'!C:C))</f>
        <v/>
      </c>
      <c r="D87" s="25" t="str">
        <f>IFERROR(VLOOKUP(I87,Selections!B:C,2,FALSE),"")</f>
        <v/>
      </c>
      <c r="E87" s="25" t="str">
        <f>IFERROR(VLOOKUP(D87,'Big Board (by rank)'!D:E,2,FALSE),"")</f>
        <v/>
      </c>
      <c r="F87" s="26"/>
      <c r="G87" s="24" t="str">
        <f>IF(SUMIF('Big Board (by rank)'!D:D,D87,'Big Board (by rank)'!G:G)=0,"",SUMIF('Big Board (by rank)'!D:D,D87,'Big Board (by rank)'!G:G))</f>
        <v/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>
      <c r="A88" s="24" t="str">
        <f>IF(SUMIF('Big Board (by rank)'!$D:$D,$D88,'Big Board (by rank)'!A:A)=0,"",SUMIF('Big Board (by rank)'!$D:$D,$D88,'Big Board (by rank)'!A:A))</f>
        <v/>
      </c>
      <c r="B88" s="24" t="str">
        <f>IF(SUMIF('Big Board (by rank)'!$D:$D,$D88,'Big Board (by rank)'!B:B)=0,"",SUMIF('Big Board (by rank)'!$D:$D,$D88,'Big Board (by rank)'!B:B))</f>
        <v/>
      </c>
      <c r="C88" s="24" t="str">
        <f>IF(SUMIF('Big Board (by rank)'!$D:$D,$D88,'Big Board (by rank)'!C:C)=0,"",SUMIF('Big Board (by rank)'!$D:$D,$D88,'Big Board (by rank)'!C:C))</f>
        <v/>
      </c>
      <c r="D88" s="25" t="str">
        <f>IFERROR(VLOOKUP(I88,Selections!B:C,2,FALSE),"")</f>
        <v/>
      </c>
      <c r="E88" s="25" t="str">
        <f>IFERROR(VLOOKUP(D88,'Big Board (by rank)'!D:E,2,FALSE),"")</f>
        <v/>
      </c>
      <c r="F88" s="26"/>
      <c r="G88" s="24" t="str">
        <f>IF(SUMIF('Big Board (by rank)'!D:D,D88,'Big Board (by rank)'!G:G)=0,"",SUMIF('Big Board (by rank)'!D:D,D88,'Big Board (by rank)'!G:G))</f>
        <v/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>
      <c r="A89" s="24" t="str">
        <f>IF(SUMIF('Big Board (by rank)'!$D:$D,$D89,'Big Board (by rank)'!A:A)=0,"",SUMIF('Big Board (by rank)'!$D:$D,$D89,'Big Board (by rank)'!A:A))</f>
        <v/>
      </c>
      <c r="B89" s="24" t="str">
        <f>IF(SUMIF('Big Board (by rank)'!$D:$D,$D89,'Big Board (by rank)'!B:B)=0,"",SUMIF('Big Board (by rank)'!$D:$D,$D89,'Big Board (by rank)'!B:B))</f>
        <v/>
      </c>
      <c r="C89" s="24" t="str">
        <f>IF(SUMIF('Big Board (by rank)'!$D:$D,$D89,'Big Board (by rank)'!C:C)=0,"",SUMIF('Big Board (by rank)'!$D:$D,$D89,'Big Board (by rank)'!C:C))</f>
        <v/>
      </c>
      <c r="D89" s="25" t="str">
        <f>IFERROR(VLOOKUP(I89,Selections!B:C,2,FALSE),"")</f>
        <v/>
      </c>
      <c r="E89" s="25" t="str">
        <f>IFERROR(VLOOKUP(D89,'Big Board (by rank)'!D:E,2,FALSE),"")</f>
        <v/>
      </c>
      <c r="F89" s="26"/>
      <c r="G89" s="24" t="str">
        <f>IF(SUMIF('Big Board (by rank)'!D:D,D89,'Big Board (by rank)'!G:G)=0,"",SUMIF('Big Board (by rank)'!D:D,D89,'Big Board (by rank)'!G:G))</f>
        <v/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>
      <c r="A90" s="24" t="str">
        <f>IF(SUMIF('Big Board (by rank)'!$D:$D,$D90,'Big Board (by rank)'!A:A)=0,"",SUMIF('Big Board (by rank)'!$D:$D,$D90,'Big Board (by rank)'!A:A))</f>
        <v/>
      </c>
      <c r="B90" s="24" t="str">
        <f>IF(SUMIF('Big Board (by rank)'!$D:$D,$D90,'Big Board (by rank)'!B:B)=0,"",SUMIF('Big Board (by rank)'!$D:$D,$D90,'Big Board (by rank)'!B:B))</f>
        <v/>
      </c>
      <c r="C90" s="24" t="str">
        <f>IF(SUMIF('Big Board (by rank)'!$D:$D,$D90,'Big Board (by rank)'!C:C)=0,"",SUMIF('Big Board (by rank)'!$D:$D,$D90,'Big Board (by rank)'!C:C))</f>
        <v/>
      </c>
      <c r="D90" s="25" t="str">
        <f>IFERROR(VLOOKUP(I90,Selections!B:C,2,FALSE),"")</f>
        <v/>
      </c>
      <c r="E90" s="25" t="str">
        <f>IFERROR(VLOOKUP(D90,'Big Board (by rank)'!D:E,2,FALSE),"")</f>
        <v/>
      </c>
      <c r="F90" s="26"/>
      <c r="G90" s="24" t="str">
        <f>IF(SUMIF('Big Board (by rank)'!D:D,D90,'Big Board (by rank)'!G:G)=0,"",SUMIF('Big Board (by rank)'!D:D,D90,'Big Board (by rank)'!G:G))</f>
        <v/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>
      <c r="A91" s="24" t="str">
        <f>IF(SUMIF('Big Board (by rank)'!$D:$D,$D91,'Big Board (by rank)'!A:A)=0,"",SUMIF('Big Board (by rank)'!$D:$D,$D91,'Big Board (by rank)'!A:A))</f>
        <v/>
      </c>
      <c r="B91" s="24" t="str">
        <f>IF(SUMIF('Big Board (by rank)'!$D:$D,$D91,'Big Board (by rank)'!B:B)=0,"",SUMIF('Big Board (by rank)'!$D:$D,$D91,'Big Board (by rank)'!B:B))</f>
        <v/>
      </c>
      <c r="C91" s="24" t="str">
        <f>IF(SUMIF('Big Board (by rank)'!$D:$D,$D91,'Big Board (by rank)'!C:C)=0,"",SUMIF('Big Board (by rank)'!$D:$D,$D91,'Big Board (by rank)'!C:C))</f>
        <v/>
      </c>
      <c r="D91" s="25" t="str">
        <f>IFERROR(VLOOKUP(I91,Selections!B:C,2,FALSE),"")</f>
        <v/>
      </c>
      <c r="E91" s="25" t="str">
        <f>IFERROR(VLOOKUP(D91,'Big Board (by rank)'!D:E,2,FALSE),"")</f>
        <v/>
      </c>
      <c r="F91" s="26"/>
      <c r="G91" s="24" t="str">
        <f>IF(SUMIF('Big Board (by rank)'!D:D,D91,'Big Board (by rank)'!G:G)=0,"",SUMIF('Big Board (by rank)'!D:D,D91,'Big Board (by rank)'!G:G))</f>
        <v/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>
      <c r="A92" s="24" t="str">
        <f>IF(SUMIF('Big Board (by rank)'!$D:$D,$D92,'Big Board (by rank)'!A:A)=0,"",SUMIF('Big Board (by rank)'!$D:$D,$D92,'Big Board (by rank)'!A:A))</f>
        <v/>
      </c>
      <c r="B92" s="24" t="str">
        <f>IF(SUMIF('Big Board (by rank)'!$D:$D,$D92,'Big Board (by rank)'!B:B)=0,"",SUMIF('Big Board (by rank)'!$D:$D,$D92,'Big Board (by rank)'!B:B))</f>
        <v/>
      </c>
      <c r="C92" s="24" t="str">
        <f>IF(SUMIF('Big Board (by rank)'!$D:$D,$D92,'Big Board (by rank)'!C:C)=0,"",SUMIF('Big Board (by rank)'!$D:$D,$D92,'Big Board (by rank)'!C:C))</f>
        <v/>
      </c>
      <c r="D92" s="25" t="str">
        <f>IFERROR(VLOOKUP(I92,Selections!B:C,2,FALSE),"")</f>
        <v/>
      </c>
      <c r="E92" s="25" t="str">
        <f>IFERROR(VLOOKUP(D92,'Big Board (by rank)'!D:E,2,FALSE),"")</f>
        <v/>
      </c>
      <c r="F92" s="26"/>
      <c r="G92" s="24" t="str">
        <f>IF(SUMIF('Big Board (by rank)'!D:D,D92,'Big Board (by rank)'!G:G)=0,"",SUMIF('Big Board (by rank)'!D:D,D92,'Big Board (by rank)'!G:G))</f>
        <v/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>
      <c r="A93" s="24" t="str">
        <f>IF(SUMIF('Big Board (by rank)'!$D:$D,$D93,'Big Board (by rank)'!A:A)=0,"",SUMIF('Big Board (by rank)'!$D:$D,$D93,'Big Board (by rank)'!A:A))</f>
        <v/>
      </c>
      <c r="B93" s="24" t="str">
        <f>IF(SUMIF('Big Board (by rank)'!$D:$D,$D93,'Big Board (by rank)'!B:B)=0,"",SUMIF('Big Board (by rank)'!$D:$D,$D93,'Big Board (by rank)'!B:B))</f>
        <v/>
      </c>
      <c r="C93" s="24" t="str">
        <f>IF(SUMIF('Big Board (by rank)'!$D:$D,$D93,'Big Board (by rank)'!C:C)=0,"",SUMIF('Big Board (by rank)'!$D:$D,$D93,'Big Board (by rank)'!C:C))</f>
        <v/>
      </c>
      <c r="D93" s="25" t="str">
        <f>IFERROR(VLOOKUP(I93,Selections!B:C,2,FALSE),"")</f>
        <v/>
      </c>
      <c r="E93" s="25" t="str">
        <f>IFERROR(VLOOKUP(D93,'Big Board (by rank)'!D:E,2,FALSE),"")</f>
        <v/>
      </c>
      <c r="F93" s="26"/>
      <c r="G93" s="24" t="str">
        <f>IF(SUMIF('Big Board (by rank)'!D:D,D93,'Big Board (by rank)'!G:G)=0,"",SUMIF('Big Board (by rank)'!D:D,D93,'Big Board (by rank)'!G:G))</f>
        <v/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</row>
    <row r="94">
      <c r="A94" s="24" t="str">
        <f>IF(SUMIF('Big Board (by rank)'!$D:$D,$D94,'Big Board (by rank)'!A:A)=0,"",SUMIF('Big Board (by rank)'!$D:$D,$D94,'Big Board (by rank)'!A:A))</f>
        <v/>
      </c>
      <c r="B94" s="24" t="str">
        <f>IF(SUMIF('Big Board (by rank)'!$D:$D,$D94,'Big Board (by rank)'!B:B)=0,"",SUMIF('Big Board (by rank)'!$D:$D,$D94,'Big Board (by rank)'!B:B))</f>
        <v/>
      </c>
      <c r="C94" s="24" t="str">
        <f>IF(SUMIF('Big Board (by rank)'!$D:$D,$D94,'Big Board (by rank)'!C:C)=0,"",SUMIF('Big Board (by rank)'!$D:$D,$D94,'Big Board (by rank)'!C:C))</f>
        <v/>
      </c>
      <c r="D94" s="25" t="str">
        <f>IFERROR(VLOOKUP(I94,Selections!B:C,2,FALSE),"")</f>
        <v/>
      </c>
      <c r="E94" s="25" t="str">
        <f>IFERROR(VLOOKUP(D94,'Big Board (by rank)'!D:E,2,FALSE),"")</f>
        <v/>
      </c>
      <c r="F94" s="26"/>
      <c r="G94" s="24" t="str">
        <f>IF(SUMIF('Big Board (by rank)'!D:D,D94,'Big Board (by rank)'!G:G)=0,"",SUMIF('Big Board (by rank)'!D:D,D94,'Big Board (by rank)'!G:G))</f>
        <v/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</row>
    <row r="95">
      <c r="A95" s="24" t="str">
        <f>IF(SUMIF('Big Board (by rank)'!$D:$D,$D95,'Big Board (by rank)'!A:A)=0,"",SUMIF('Big Board (by rank)'!$D:$D,$D95,'Big Board (by rank)'!A:A))</f>
        <v/>
      </c>
      <c r="B95" s="24" t="str">
        <f>IF(SUMIF('Big Board (by rank)'!$D:$D,$D95,'Big Board (by rank)'!B:B)=0,"",SUMIF('Big Board (by rank)'!$D:$D,$D95,'Big Board (by rank)'!B:B))</f>
        <v/>
      </c>
      <c r="C95" s="24" t="str">
        <f>IF(SUMIF('Big Board (by rank)'!$D:$D,$D95,'Big Board (by rank)'!C:C)=0,"",SUMIF('Big Board (by rank)'!$D:$D,$D95,'Big Board (by rank)'!C:C))</f>
        <v/>
      </c>
      <c r="D95" s="25" t="str">
        <f>IFERROR(VLOOKUP(I95,Selections!B:C,2,FALSE),"")</f>
        <v/>
      </c>
      <c r="E95" s="25" t="str">
        <f>IFERROR(VLOOKUP(D95,'Big Board (by rank)'!D:E,2,FALSE),"")</f>
        <v/>
      </c>
      <c r="F95" s="26"/>
      <c r="G95" s="24" t="str">
        <f>IF(SUMIF('Big Board (by rank)'!D:D,D95,'Big Board (by rank)'!G:G)=0,"",SUMIF('Big Board (by rank)'!D:D,D95,'Big Board (by rank)'!G:G))</f>
        <v/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>
      <c r="A96" s="24" t="str">
        <f>IF(SUMIF('Big Board (by rank)'!$D:$D,$D96,'Big Board (by rank)'!A:A)=0,"",SUMIF('Big Board (by rank)'!$D:$D,$D96,'Big Board (by rank)'!A:A))</f>
        <v/>
      </c>
      <c r="B96" s="24" t="str">
        <f>IF(SUMIF('Big Board (by rank)'!$D:$D,$D96,'Big Board (by rank)'!B:B)=0,"",SUMIF('Big Board (by rank)'!$D:$D,$D96,'Big Board (by rank)'!B:B))</f>
        <v/>
      </c>
      <c r="C96" s="24" t="str">
        <f>IF(SUMIF('Big Board (by rank)'!$D:$D,$D96,'Big Board (by rank)'!C:C)=0,"",SUMIF('Big Board (by rank)'!$D:$D,$D96,'Big Board (by rank)'!C:C))</f>
        <v/>
      </c>
      <c r="D96" s="25" t="str">
        <f>IFERROR(VLOOKUP(I96,Selections!B:C,2,FALSE),"")</f>
        <v/>
      </c>
      <c r="E96" s="25" t="str">
        <f>IFERROR(VLOOKUP(D96,'Big Board (by rank)'!D:E,2,FALSE),"")</f>
        <v/>
      </c>
      <c r="F96" s="26"/>
      <c r="G96" s="24" t="str">
        <f>IF(SUMIF('Big Board (by rank)'!D:D,D96,'Big Board (by rank)'!G:G)=0,"",SUMIF('Big Board (by rank)'!D:D,D96,'Big Board (by rank)'!G:G))</f>
        <v/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</row>
    <row r="97">
      <c r="A97" s="24" t="str">
        <f>IF(SUMIF('Big Board (by rank)'!$D:$D,$D97,'Big Board (by rank)'!A:A)=0,"",SUMIF('Big Board (by rank)'!$D:$D,$D97,'Big Board (by rank)'!A:A))</f>
        <v/>
      </c>
      <c r="B97" s="24" t="str">
        <f>IF(SUMIF('Big Board (by rank)'!$D:$D,$D97,'Big Board (by rank)'!B:B)=0,"",SUMIF('Big Board (by rank)'!$D:$D,$D97,'Big Board (by rank)'!B:B))</f>
        <v/>
      </c>
      <c r="C97" s="24" t="str">
        <f>IF(SUMIF('Big Board (by rank)'!$D:$D,$D97,'Big Board (by rank)'!C:C)=0,"",SUMIF('Big Board (by rank)'!$D:$D,$D97,'Big Board (by rank)'!C:C))</f>
        <v/>
      </c>
      <c r="D97" s="25" t="str">
        <f>IFERROR(VLOOKUP(I97,Selections!B:C,2,FALSE),"")</f>
        <v/>
      </c>
      <c r="E97" s="25" t="str">
        <f>IFERROR(VLOOKUP(D97,'Big Board (by rank)'!D:E,2,FALSE),"")</f>
        <v/>
      </c>
      <c r="F97" s="26"/>
      <c r="G97" s="24" t="str">
        <f>IF(SUMIF('Big Board (by rank)'!D:D,D97,'Big Board (by rank)'!G:G)=0,"",SUMIF('Big Board (by rank)'!D:D,D97,'Big Board (by rank)'!G:G))</f>
        <v/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</row>
    <row r="98">
      <c r="A98" s="24" t="str">
        <f>IF(SUMIF('Big Board (by rank)'!$D:$D,$D98,'Big Board (by rank)'!A:A)=0,"",SUMIF('Big Board (by rank)'!$D:$D,$D98,'Big Board (by rank)'!A:A))</f>
        <v/>
      </c>
      <c r="B98" s="24" t="str">
        <f>IF(SUMIF('Big Board (by rank)'!$D:$D,$D98,'Big Board (by rank)'!B:B)=0,"",SUMIF('Big Board (by rank)'!$D:$D,$D98,'Big Board (by rank)'!B:B))</f>
        <v/>
      </c>
      <c r="C98" s="24" t="str">
        <f>IF(SUMIF('Big Board (by rank)'!$D:$D,$D98,'Big Board (by rank)'!C:C)=0,"",SUMIF('Big Board (by rank)'!$D:$D,$D98,'Big Board (by rank)'!C:C))</f>
        <v/>
      </c>
      <c r="D98" s="25" t="str">
        <f>IFERROR(VLOOKUP(I98,Selections!B:C,2,FALSE),"")</f>
        <v/>
      </c>
      <c r="E98" s="25" t="str">
        <f>IFERROR(VLOOKUP(D98,'Big Board (by rank)'!D:E,2,FALSE),"")</f>
        <v/>
      </c>
      <c r="F98" s="26"/>
      <c r="G98" s="24" t="str">
        <f>IF(SUMIF('Big Board (by rank)'!D:D,D98,'Big Board (by rank)'!G:G)=0,"",SUMIF('Big Board (by rank)'!D:D,D98,'Big Board (by rank)'!G:G))</f>
        <v/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>
      <c r="A99" s="24" t="str">
        <f>IF(SUMIF('Big Board (by rank)'!$D:$D,$D99,'Big Board (by rank)'!A:A)=0,"",SUMIF('Big Board (by rank)'!$D:$D,$D99,'Big Board (by rank)'!A:A))</f>
        <v/>
      </c>
      <c r="B99" s="24" t="str">
        <f>IF(SUMIF('Big Board (by rank)'!$D:$D,$D99,'Big Board (by rank)'!B:B)=0,"",SUMIF('Big Board (by rank)'!$D:$D,$D99,'Big Board (by rank)'!B:B))</f>
        <v/>
      </c>
      <c r="C99" s="24" t="str">
        <f>IF(SUMIF('Big Board (by rank)'!$D:$D,$D99,'Big Board (by rank)'!C:C)=0,"",SUMIF('Big Board (by rank)'!$D:$D,$D99,'Big Board (by rank)'!C:C))</f>
        <v/>
      </c>
      <c r="D99" s="25" t="str">
        <f>IFERROR(VLOOKUP(I99,Selections!B:C,2,FALSE),"")</f>
        <v/>
      </c>
      <c r="E99" s="25" t="str">
        <f>IFERROR(VLOOKUP(D99,'Big Board (by rank)'!D:E,2,FALSE),"")</f>
        <v/>
      </c>
      <c r="F99" s="26"/>
      <c r="G99" s="24" t="str">
        <f>IF(SUMIF('Big Board (by rank)'!D:D,D99,'Big Board (by rank)'!G:G)=0,"",SUMIF('Big Board (by rank)'!D:D,D99,'Big Board (by rank)'!G:G))</f>
        <v/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>
      <c r="A100" s="24" t="str">
        <f>IF(SUMIF('Big Board (by rank)'!$D:$D,$D100,'Big Board (by rank)'!A:A)=0,"",SUMIF('Big Board (by rank)'!$D:$D,$D100,'Big Board (by rank)'!A:A))</f>
        <v/>
      </c>
      <c r="B100" s="24" t="str">
        <f>IF(SUMIF('Big Board (by rank)'!$D:$D,$D100,'Big Board (by rank)'!B:B)=0,"",SUMIF('Big Board (by rank)'!$D:$D,$D100,'Big Board (by rank)'!B:B))</f>
        <v/>
      </c>
      <c r="C100" s="24" t="str">
        <f>IF(SUMIF('Big Board (by rank)'!$D:$D,$D100,'Big Board (by rank)'!C:C)=0,"",SUMIF('Big Board (by rank)'!$D:$D,$D100,'Big Board (by rank)'!C:C))</f>
        <v/>
      </c>
      <c r="D100" s="25" t="str">
        <f>IFERROR(VLOOKUP(I100,Selections!B:C,2,FALSE),"")</f>
        <v/>
      </c>
      <c r="E100" s="25" t="str">
        <f>IFERROR(VLOOKUP(D100,'Big Board (by rank)'!D:E,2,FALSE),"")</f>
        <v/>
      </c>
      <c r="F100" s="26"/>
      <c r="G100" s="24" t="str">
        <f>IF(SUMIF('Big Board (by rank)'!D:D,D100,'Big Board (by rank)'!G:G)=0,"",SUMIF('Big Board (by rank)'!D:D,D100,'Big Board (by rank)'!G:G))</f>
        <v/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</row>
    <row r="101">
      <c r="A101" s="24" t="str">
        <f>IF(SUMIF('Big Board (by rank)'!$D:$D,$D101,'Big Board (by rank)'!A:A)=0,"",SUMIF('Big Board (by rank)'!$D:$D,$D101,'Big Board (by rank)'!A:A))</f>
        <v/>
      </c>
      <c r="B101" s="24" t="str">
        <f>IF(SUMIF('Big Board (by rank)'!$D:$D,$D101,'Big Board (by rank)'!B:B)=0,"",SUMIF('Big Board (by rank)'!$D:$D,$D101,'Big Board (by rank)'!B:B))</f>
        <v/>
      </c>
      <c r="C101" s="24" t="str">
        <f>IF(SUMIF('Big Board (by rank)'!$D:$D,$D101,'Big Board (by rank)'!C:C)=0,"",SUMIF('Big Board (by rank)'!$D:$D,$D101,'Big Board (by rank)'!C:C))</f>
        <v/>
      </c>
      <c r="D101" s="25" t="str">
        <f>IFERROR(VLOOKUP(I101,Selections!B:C,2,FALSE),"")</f>
        <v/>
      </c>
      <c r="E101" s="25" t="str">
        <f>IFERROR(VLOOKUP(D101,'Big Board (by rank)'!D:E,2,FALSE),"")</f>
        <v/>
      </c>
      <c r="F101" s="26"/>
      <c r="G101" s="24" t="str">
        <f>IF(SUMIF('Big Board (by rank)'!D:D,D101,'Big Board (by rank)'!G:G)=0,"",SUMIF('Big Board (by rank)'!D:D,D101,'Big Board (by rank)'!G:G))</f>
        <v/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>
      <c r="A102" s="24" t="str">
        <f>IF(SUMIF('Big Board (by rank)'!$D:$D,$D102,'Big Board (by rank)'!A:A)=0,"",SUMIF('Big Board (by rank)'!$D:$D,$D102,'Big Board (by rank)'!A:A))</f>
        <v/>
      </c>
      <c r="B102" s="24" t="str">
        <f>IF(SUMIF('Big Board (by rank)'!$D:$D,$D102,'Big Board (by rank)'!B:B)=0,"",SUMIF('Big Board (by rank)'!$D:$D,$D102,'Big Board (by rank)'!B:B))</f>
        <v/>
      </c>
      <c r="C102" s="24" t="str">
        <f>IF(SUMIF('Big Board (by rank)'!$D:$D,$D102,'Big Board (by rank)'!C:C)=0,"",SUMIF('Big Board (by rank)'!$D:$D,$D102,'Big Board (by rank)'!C:C))</f>
        <v/>
      </c>
      <c r="D102" s="25" t="str">
        <f>IFERROR(VLOOKUP(I102,Selections!B:C,2,FALSE),"")</f>
        <v/>
      </c>
      <c r="E102" s="25" t="str">
        <f>IFERROR(VLOOKUP(D102,'Big Board (by rank)'!D:E,2,FALSE),"")</f>
        <v/>
      </c>
      <c r="F102" s="26"/>
      <c r="G102" s="24" t="str">
        <f>IF(SUMIF('Big Board (by rank)'!D:D,D102,'Big Board (by rank)'!G:G)=0,"",SUMIF('Big Board (by rank)'!D:D,D102,'Big Board (by rank)'!G:G))</f>
        <v/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</row>
    <row r="103">
      <c r="A103" s="24" t="str">
        <f>IF(SUMIF('Big Board (by rank)'!$D:$D,$D103,'Big Board (by rank)'!A:A)=0,"",SUMIF('Big Board (by rank)'!$D:$D,$D103,'Big Board (by rank)'!A:A))</f>
        <v/>
      </c>
      <c r="B103" s="24" t="str">
        <f>IF(SUMIF('Big Board (by rank)'!$D:$D,$D103,'Big Board (by rank)'!B:B)=0,"",SUMIF('Big Board (by rank)'!$D:$D,$D103,'Big Board (by rank)'!B:B))</f>
        <v/>
      </c>
      <c r="C103" s="24" t="str">
        <f>IF(SUMIF('Big Board (by rank)'!$D:$D,$D103,'Big Board (by rank)'!C:C)=0,"",SUMIF('Big Board (by rank)'!$D:$D,$D103,'Big Board (by rank)'!C:C))</f>
        <v/>
      </c>
      <c r="D103" s="25" t="str">
        <f>IFERROR(VLOOKUP(I103,Selections!B:C,2,FALSE),"")</f>
        <v/>
      </c>
      <c r="E103" s="25" t="str">
        <f>IFERROR(VLOOKUP(D103,'Big Board (by rank)'!D:E,2,FALSE),"")</f>
        <v/>
      </c>
      <c r="F103" s="26"/>
      <c r="G103" s="24" t="str">
        <f>IF(SUMIF('Big Board (by rank)'!D:D,D103,'Big Board (by rank)'!G:G)=0,"",SUMIF('Big Board (by rank)'!D:D,D103,'Big Board (by rank)'!G:G))</f>
        <v/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>
      <c r="A104" s="24" t="str">
        <f>IF(SUMIF('Big Board (by rank)'!$D:$D,$D104,'Big Board (by rank)'!A:A)=0,"",SUMIF('Big Board (by rank)'!$D:$D,$D104,'Big Board (by rank)'!A:A))</f>
        <v/>
      </c>
      <c r="B104" s="24" t="str">
        <f>IF(SUMIF('Big Board (by rank)'!$D:$D,$D104,'Big Board (by rank)'!B:B)=0,"",SUMIF('Big Board (by rank)'!$D:$D,$D104,'Big Board (by rank)'!B:B))</f>
        <v/>
      </c>
      <c r="C104" s="24" t="str">
        <f>IF(SUMIF('Big Board (by rank)'!$D:$D,$D104,'Big Board (by rank)'!C:C)=0,"",SUMIF('Big Board (by rank)'!$D:$D,$D104,'Big Board (by rank)'!C:C))</f>
        <v/>
      </c>
      <c r="D104" s="25" t="str">
        <f>IFERROR(VLOOKUP(I104,Selections!B:C,2,FALSE),"")</f>
        <v/>
      </c>
      <c r="E104" s="25" t="str">
        <f>IFERROR(VLOOKUP(D104,'Big Board (by rank)'!D:E,2,FALSE),"")</f>
        <v/>
      </c>
      <c r="F104" s="26"/>
      <c r="G104" s="24" t="str">
        <f>IF(SUMIF('Big Board (by rank)'!D:D,D104,'Big Board (by rank)'!G:G)=0,"",SUMIF('Big Board (by rank)'!D:D,D104,'Big Board (by rank)'!G:G))</f>
        <v/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</row>
    <row r="105">
      <c r="A105" s="24" t="str">
        <f>IF(SUMIF('Big Board (by rank)'!$D:$D,$D105,'Big Board (by rank)'!A:A)=0,"",SUMIF('Big Board (by rank)'!$D:$D,$D105,'Big Board (by rank)'!A:A))</f>
        <v/>
      </c>
      <c r="B105" s="24" t="str">
        <f>IF(SUMIF('Big Board (by rank)'!$D:$D,$D105,'Big Board (by rank)'!B:B)=0,"",SUMIF('Big Board (by rank)'!$D:$D,$D105,'Big Board (by rank)'!B:B))</f>
        <v/>
      </c>
      <c r="C105" s="24" t="str">
        <f>IF(SUMIF('Big Board (by rank)'!$D:$D,$D105,'Big Board (by rank)'!C:C)=0,"",SUMIF('Big Board (by rank)'!$D:$D,$D105,'Big Board (by rank)'!C:C))</f>
        <v/>
      </c>
      <c r="D105" s="25" t="str">
        <f>IFERROR(VLOOKUP(I105,Selections!B:C,2,FALSE),"")</f>
        <v/>
      </c>
      <c r="E105" s="25" t="str">
        <f>IFERROR(VLOOKUP(D105,'Big Board (by rank)'!D:E,2,FALSE),"")</f>
        <v/>
      </c>
      <c r="F105" s="26"/>
      <c r="G105" s="24" t="str">
        <f>IF(SUMIF('Big Board (by rank)'!D:D,D105,'Big Board (by rank)'!G:G)=0,"",SUMIF('Big Board (by rank)'!D:D,D105,'Big Board (by rank)'!G:G))</f>
        <v/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>
      <c r="A106" s="24" t="str">
        <f>IF(SUMIF('Big Board (by rank)'!$D:$D,$D106,'Big Board (by rank)'!A:A)=0,"",SUMIF('Big Board (by rank)'!$D:$D,$D106,'Big Board (by rank)'!A:A))</f>
        <v/>
      </c>
      <c r="B106" s="24" t="str">
        <f>IF(SUMIF('Big Board (by rank)'!$D:$D,$D106,'Big Board (by rank)'!B:B)=0,"",SUMIF('Big Board (by rank)'!$D:$D,$D106,'Big Board (by rank)'!B:B))</f>
        <v/>
      </c>
      <c r="C106" s="24" t="str">
        <f>IF(SUMIF('Big Board (by rank)'!$D:$D,$D106,'Big Board (by rank)'!C:C)=0,"",SUMIF('Big Board (by rank)'!$D:$D,$D106,'Big Board (by rank)'!C:C))</f>
        <v/>
      </c>
      <c r="D106" s="25" t="str">
        <f>IFERROR(VLOOKUP(I106,Selections!B:C,2,FALSE),"")</f>
        <v/>
      </c>
      <c r="E106" s="25" t="str">
        <f>IFERROR(VLOOKUP(D106,'Big Board (by rank)'!D:E,2,FALSE),"")</f>
        <v/>
      </c>
      <c r="F106" s="26"/>
      <c r="G106" s="24" t="str">
        <f>IF(SUMIF('Big Board (by rank)'!D:D,D106,'Big Board (by rank)'!G:G)=0,"",SUMIF('Big Board (by rank)'!D:D,D106,'Big Board (by rank)'!G:G))</f>
        <v/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>
      <c r="A107" s="24" t="str">
        <f>IF(SUMIF('Big Board (by rank)'!$D:$D,$D107,'Big Board (by rank)'!A:A)=0,"",SUMIF('Big Board (by rank)'!$D:$D,$D107,'Big Board (by rank)'!A:A))</f>
        <v/>
      </c>
      <c r="B107" s="24" t="str">
        <f>IF(SUMIF('Big Board (by rank)'!$D:$D,$D107,'Big Board (by rank)'!B:B)=0,"",SUMIF('Big Board (by rank)'!$D:$D,$D107,'Big Board (by rank)'!B:B))</f>
        <v/>
      </c>
      <c r="C107" s="24" t="str">
        <f>IF(SUMIF('Big Board (by rank)'!$D:$D,$D107,'Big Board (by rank)'!C:C)=0,"",SUMIF('Big Board (by rank)'!$D:$D,$D107,'Big Board (by rank)'!C:C))</f>
        <v/>
      </c>
      <c r="D107" s="25" t="str">
        <f>IFERROR(VLOOKUP(I107,Selections!B:C,2,FALSE),"")</f>
        <v/>
      </c>
      <c r="E107" s="25" t="str">
        <f>IFERROR(VLOOKUP(D107,'Big Board (by rank)'!D:E,2,FALSE),"")</f>
        <v/>
      </c>
      <c r="F107" s="26"/>
      <c r="G107" s="24" t="str">
        <f>IF(SUMIF('Big Board (by rank)'!D:D,D107,'Big Board (by rank)'!G:G)=0,"",SUMIF('Big Board (by rank)'!D:D,D107,'Big Board (by rank)'!G:G))</f>
        <v/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  <row r="108">
      <c r="A108" s="24" t="str">
        <f>IF(SUMIF('Big Board (by rank)'!$D:$D,$D108,'Big Board (by rank)'!A:A)=0,"",SUMIF('Big Board (by rank)'!$D:$D,$D108,'Big Board (by rank)'!A:A))</f>
        <v/>
      </c>
      <c r="B108" s="24" t="str">
        <f>IF(SUMIF('Big Board (by rank)'!$D:$D,$D108,'Big Board (by rank)'!B:B)=0,"",SUMIF('Big Board (by rank)'!$D:$D,$D108,'Big Board (by rank)'!B:B))</f>
        <v/>
      </c>
      <c r="C108" s="24" t="str">
        <f>IF(SUMIF('Big Board (by rank)'!$D:$D,$D108,'Big Board (by rank)'!C:C)=0,"",SUMIF('Big Board (by rank)'!$D:$D,$D108,'Big Board (by rank)'!C:C))</f>
        <v/>
      </c>
      <c r="D108" s="25" t="str">
        <f>IFERROR(VLOOKUP(I108,Selections!B:C,2,FALSE),"")</f>
        <v/>
      </c>
      <c r="E108" s="25" t="str">
        <f>IFERROR(VLOOKUP(D108,'Big Board (by rank)'!D:E,2,FALSE),"")</f>
        <v/>
      </c>
      <c r="F108" s="26"/>
      <c r="G108" s="24" t="str">
        <f>IF(SUMIF('Big Board (by rank)'!D:D,D108,'Big Board (by rank)'!G:G)=0,"",SUMIF('Big Board (by rank)'!D:D,D108,'Big Board (by rank)'!G:G))</f>
        <v/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>
      <c r="A109" s="24" t="str">
        <f>IF(SUMIF('Big Board (by rank)'!$D:$D,$D109,'Big Board (by rank)'!A:A)=0,"",SUMIF('Big Board (by rank)'!$D:$D,$D109,'Big Board (by rank)'!A:A))</f>
        <v/>
      </c>
      <c r="B109" s="24" t="str">
        <f>IF(SUMIF('Big Board (by rank)'!$D:$D,$D109,'Big Board (by rank)'!B:B)=0,"",SUMIF('Big Board (by rank)'!$D:$D,$D109,'Big Board (by rank)'!B:B))</f>
        <v/>
      </c>
      <c r="C109" s="24" t="str">
        <f>IF(SUMIF('Big Board (by rank)'!$D:$D,$D109,'Big Board (by rank)'!C:C)=0,"",SUMIF('Big Board (by rank)'!$D:$D,$D109,'Big Board (by rank)'!C:C))</f>
        <v/>
      </c>
      <c r="D109" s="25" t="str">
        <f>IFERROR(VLOOKUP(I109,Selections!B:C,2,FALSE),"")</f>
        <v/>
      </c>
      <c r="E109" s="25" t="str">
        <f>IFERROR(VLOOKUP(D109,'Big Board (by rank)'!D:E,2,FALSE),"")</f>
        <v/>
      </c>
      <c r="F109" s="26"/>
      <c r="G109" s="24" t="str">
        <f>IF(SUMIF('Big Board (by rank)'!D:D,D109,'Big Board (by rank)'!G:G)=0,"",SUMIF('Big Board (by rank)'!D:D,D109,'Big Board (by rank)'!G:G))</f>
        <v/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</row>
    <row r="110">
      <c r="A110" s="24" t="str">
        <f>IF(SUMIF('Big Board (by rank)'!$D:$D,$D110,'Big Board (by rank)'!A:A)=0,"",SUMIF('Big Board (by rank)'!$D:$D,$D110,'Big Board (by rank)'!A:A))</f>
        <v/>
      </c>
      <c r="B110" s="24" t="str">
        <f>IF(SUMIF('Big Board (by rank)'!$D:$D,$D110,'Big Board (by rank)'!B:B)=0,"",SUMIF('Big Board (by rank)'!$D:$D,$D110,'Big Board (by rank)'!B:B))</f>
        <v/>
      </c>
      <c r="C110" s="24" t="str">
        <f>IF(SUMIF('Big Board (by rank)'!$D:$D,$D110,'Big Board (by rank)'!C:C)=0,"",SUMIF('Big Board (by rank)'!$D:$D,$D110,'Big Board (by rank)'!C:C))</f>
        <v/>
      </c>
      <c r="D110" s="25" t="str">
        <f>IFERROR(VLOOKUP(I110,Selections!B:C,2,FALSE),"")</f>
        <v/>
      </c>
      <c r="E110" s="25" t="str">
        <f>IFERROR(VLOOKUP(D110,'Big Board (by rank)'!D:E,2,FALSE),"")</f>
        <v/>
      </c>
      <c r="F110" s="26"/>
      <c r="G110" s="24" t="str">
        <f>IF(SUMIF('Big Board (by rank)'!D:D,D110,'Big Board (by rank)'!G:G)=0,"",SUMIF('Big Board (by rank)'!D:D,D110,'Big Board (by rank)'!G:G))</f>
        <v/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>
      <c r="A111" s="24" t="str">
        <f>IF(SUMIF('Big Board (by rank)'!$D:$D,$D111,'Big Board (by rank)'!A:A)=0,"",SUMIF('Big Board (by rank)'!$D:$D,$D111,'Big Board (by rank)'!A:A))</f>
        <v/>
      </c>
      <c r="B111" s="24" t="str">
        <f>IF(SUMIF('Big Board (by rank)'!$D:$D,$D111,'Big Board (by rank)'!B:B)=0,"",SUMIF('Big Board (by rank)'!$D:$D,$D111,'Big Board (by rank)'!B:B))</f>
        <v/>
      </c>
      <c r="C111" s="24" t="str">
        <f>IF(SUMIF('Big Board (by rank)'!$D:$D,$D111,'Big Board (by rank)'!C:C)=0,"",SUMIF('Big Board (by rank)'!$D:$D,$D111,'Big Board (by rank)'!C:C))</f>
        <v/>
      </c>
      <c r="D111" s="25" t="str">
        <f>IFERROR(VLOOKUP(I111,Selections!B:C,2,FALSE),"")</f>
        <v/>
      </c>
      <c r="E111" s="25" t="str">
        <f>IFERROR(VLOOKUP(D111,'Big Board (by rank)'!D:E,2,FALSE),"")</f>
        <v/>
      </c>
      <c r="F111" s="26"/>
      <c r="G111" s="24" t="str">
        <f>IF(SUMIF('Big Board (by rank)'!D:D,D111,'Big Board (by rank)'!G:G)=0,"",SUMIF('Big Board (by rank)'!D:D,D111,'Big Board (by rank)'!G:G))</f>
        <v/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>
      <c r="A112" s="24" t="str">
        <f>IF(SUMIF('Big Board (by rank)'!$D:$D,$D112,'Big Board (by rank)'!A:A)=0,"",SUMIF('Big Board (by rank)'!$D:$D,$D112,'Big Board (by rank)'!A:A))</f>
        <v/>
      </c>
      <c r="B112" s="24" t="str">
        <f>IF(SUMIF('Big Board (by rank)'!$D:$D,$D112,'Big Board (by rank)'!B:B)=0,"",SUMIF('Big Board (by rank)'!$D:$D,$D112,'Big Board (by rank)'!B:B))</f>
        <v/>
      </c>
      <c r="C112" s="24" t="str">
        <f>IF(SUMIF('Big Board (by rank)'!$D:$D,$D112,'Big Board (by rank)'!C:C)=0,"",SUMIF('Big Board (by rank)'!$D:$D,$D112,'Big Board (by rank)'!C:C))</f>
        <v/>
      </c>
      <c r="D112" s="25" t="str">
        <f>IFERROR(VLOOKUP(I112,Selections!B:C,2,FALSE),"")</f>
        <v/>
      </c>
      <c r="E112" s="25" t="str">
        <f>IFERROR(VLOOKUP(D112,'Big Board (by rank)'!D:E,2,FALSE),"")</f>
        <v/>
      </c>
      <c r="F112" s="26"/>
      <c r="G112" s="24" t="str">
        <f>IF(SUMIF('Big Board (by rank)'!D:D,D112,'Big Board (by rank)'!G:G)=0,"",SUMIF('Big Board (by rank)'!D:D,D112,'Big Board (by rank)'!G:G))</f>
        <v/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</row>
    <row r="113">
      <c r="A113" s="24" t="str">
        <f>IF(SUMIF('Big Board (by rank)'!$D:$D,$D113,'Big Board (by rank)'!A:A)=0,"",SUMIF('Big Board (by rank)'!$D:$D,$D113,'Big Board (by rank)'!A:A))</f>
        <v/>
      </c>
      <c r="B113" s="24" t="str">
        <f>IF(SUMIF('Big Board (by rank)'!$D:$D,$D113,'Big Board (by rank)'!B:B)=0,"",SUMIF('Big Board (by rank)'!$D:$D,$D113,'Big Board (by rank)'!B:B))</f>
        <v/>
      </c>
      <c r="C113" s="24" t="str">
        <f>IF(SUMIF('Big Board (by rank)'!$D:$D,$D113,'Big Board (by rank)'!C:C)=0,"",SUMIF('Big Board (by rank)'!$D:$D,$D113,'Big Board (by rank)'!C:C))</f>
        <v/>
      </c>
      <c r="D113" s="25" t="str">
        <f>IFERROR(VLOOKUP(I113,Selections!B:C,2,FALSE),"")</f>
        <v/>
      </c>
      <c r="E113" s="25" t="str">
        <f>IFERROR(VLOOKUP(D113,'Big Board (by rank)'!D:E,2,FALSE),"")</f>
        <v/>
      </c>
      <c r="F113" s="26"/>
      <c r="G113" s="24" t="str">
        <f>IF(SUMIF('Big Board (by rank)'!D:D,D113,'Big Board (by rank)'!G:G)=0,"",SUMIF('Big Board (by rank)'!D:D,D113,'Big Board (by rank)'!G:G))</f>
        <v/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</row>
    <row r="114">
      <c r="A114" s="24" t="str">
        <f>IF(SUMIF('Big Board (by rank)'!$D:$D,$D114,'Big Board (by rank)'!A:A)=0,"",SUMIF('Big Board (by rank)'!$D:$D,$D114,'Big Board (by rank)'!A:A))</f>
        <v/>
      </c>
      <c r="B114" s="24" t="str">
        <f>IF(SUMIF('Big Board (by rank)'!$D:$D,$D114,'Big Board (by rank)'!B:B)=0,"",SUMIF('Big Board (by rank)'!$D:$D,$D114,'Big Board (by rank)'!B:B))</f>
        <v/>
      </c>
      <c r="C114" s="24" t="str">
        <f>IF(SUMIF('Big Board (by rank)'!$D:$D,$D114,'Big Board (by rank)'!C:C)=0,"",SUMIF('Big Board (by rank)'!$D:$D,$D114,'Big Board (by rank)'!C:C))</f>
        <v/>
      </c>
      <c r="D114" s="25" t="str">
        <f>IFERROR(VLOOKUP(I114,Selections!B:C,2,FALSE),"")</f>
        <v/>
      </c>
      <c r="E114" s="25" t="str">
        <f>IFERROR(VLOOKUP(D114,'Big Board (by rank)'!D:E,2,FALSE),"")</f>
        <v/>
      </c>
      <c r="F114" s="26"/>
      <c r="G114" s="24" t="str">
        <f>IF(SUMIF('Big Board (by rank)'!D:D,D114,'Big Board (by rank)'!G:G)=0,"",SUMIF('Big Board (by rank)'!D:D,D114,'Big Board (by rank)'!G:G))</f>
        <v/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>
      <c r="A115" s="24" t="str">
        <f>IF(SUMIF('Big Board (by rank)'!$D:$D,$D115,'Big Board (by rank)'!A:A)=0,"",SUMIF('Big Board (by rank)'!$D:$D,$D115,'Big Board (by rank)'!A:A))</f>
        <v/>
      </c>
      <c r="B115" s="24" t="str">
        <f>IF(SUMIF('Big Board (by rank)'!$D:$D,$D115,'Big Board (by rank)'!B:B)=0,"",SUMIF('Big Board (by rank)'!$D:$D,$D115,'Big Board (by rank)'!B:B))</f>
        <v/>
      </c>
      <c r="C115" s="24" t="str">
        <f>IF(SUMIF('Big Board (by rank)'!$D:$D,$D115,'Big Board (by rank)'!C:C)=0,"",SUMIF('Big Board (by rank)'!$D:$D,$D115,'Big Board (by rank)'!C:C))</f>
        <v/>
      </c>
      <c r="D115" s="25" t="str">
        <f>IFERROR(VLOOKUP(I115,Selections!B:C,2,FALSE),"")</f>
        <v/>
      </c>
      <c r="E115" s="25" t="str">
        <f>IFERROR(VLOOKUP(D115,'Big Board (by rank)'!D:E,2,FALSE),"")</f>
        <v/>
      </c>
      <c r="F115" s="26"/>
      <c r="G115" s="24" t="str">
        <f>IF(SUMIF('Big Board (by rank)'!D:D,D115,'Big Board (by rank)'!G:G)=0,"",SUMIF('Big Board (by rank)'!D:D,D115,'Big Board (by rank)'!G:G))</f>
        <v/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>
      <c r="A116" s="24" t="str">
        <f>IF(SUMIF('Big Board (by rank)'!$D:$D,$D116,'Big Board (by rank)'!A:A)=0,"",SUMIF('Big Board (by rank)'!$D:$D,$D116,'Big Board (by rank)'!A:A))</f>
        <v/>
      </c>
      <c r="B116" s="24" t="str">
        <f>IF(SUMIF('Big Board (by rank)'!$D:$D,$D116,'Big Board (by rank)'!B:B)=0,"",SUMIF('Big Board (by rank)'!$D:$D,$D116,'Big Board (by rank)'!B:B))</f>
        <v/>
      </c>
      <c r="C116" s="24" t="str">
        <f>IF(SUMIF('Big Board (by rank)'!$D:$D,$D116,'Big Board (by rank)'!C:C)=0,"",SUMIF('Big Board (by rank)'!$D:$D,$D116,'Big Board (by rank)'!C:C))</f>
        <v/>
      </c>
      <c r="D116" s="25" t="str">
        <f>IFERROR(VLOOKUP(I116,Selections!B:C,2,FALSE),"")</f>
        <v/>
      </c>
      <c r="E116" s="25" t="str">
        <f>IFERROR(VLOOKUP(D116,'Big Board (by rank)'!D:E,2,FALSE),"")</f>
        <v/>
      </c>
      <c r="F116" s="26"/>
      <c r="G116" s="24" t="str">
        <f>IF(SUMIF('Big Board (by rank)'!D:D,D116,'Big Board (by rank)'!G:G)=0,"",SUMIF('Big Board (by rank)'!D:D,D116,'Big Board (by rank)'!G:G))</f>
        <v/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>
      <c r="A117" s="24" t="str">
        <f>IF(SUMIF('Big Board (by rank)'!$D:$D,$D117,'Big Board (by rank)'!A:A)=0,"",SUMIF('Big Board (by rank)'!$D:$D,$D117,'Big Board (by rank)'!A:A))</f>
        <v/>
      </c>
      <c r="B117" s="24" t="str">
        <f>IF(SUMIF('Big Board (by rank)'!$D:$D,$D117,'Big Board (by rank)'!B:B)=0,"",SUMIF('Big Board (by rank)'!$D:$D,$D117,'Big Board (by rank)'!B:B))</f>
        <v/>
      </c>
      <c r="C117" s="24" t="str">
        <f>IF(SUMIF('Big Board (by rank)'!$D:$D,$D117,'Big Board (by rank)'!C:C)=0,"",SUMIF('Big Board (by rank)'!$D:$D,$D117,'Big Board (by rank)'!C:C))</f>
        <v/>
      </c>
      <c r="D117" s="25" t="str">
        <f>IFERROR(VLOOKUP(I117,Selections!B:C,2,FALSE),"")</f>
        <v/>
      </c>
      <c r="E117" s="25" t="str">
        <f>IFERROR(VLOOKUP(D117,'Big Board (by rank)'!D:E,2,FALSE),"")</f>
        <v/>
      </c>
      <c r="F117" s="26"/>
      <c r="G117" s="24" t="str">
        <f>IF(SUMIF('Big Board (by rank)'!D:D,D117,'Big Board (by rank)'!G:G)=0,"",SUMIF('Big Board (by rank)'!D:D,D117,'Big Board (by rank)'!G:G))</f>
        <v/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>
      <c r="A118" s="24" t="str">
        <f>IF(SUMIF('Big Board (by rank)'!$D:$D,$D118,'Big Board (by rank)'!A:A)=0,"",SUMIF('Big Board (by rank)'!$D:$D,$D118,'Big Board (by rank)'!A:A))</f>
        <v/>
      </c>
      <c r="B118" s="24" t="str">
        <f>IF(SUMIF('Big Board (by rank)'!$D:$D,$D118,'Big Board (by rank)'!B:B)=0,"",SUMIF('Big Board (by rank)'!$D:$D,$D118,'Big Board (by rank)'!B:B))</f>
        <v/>
      </c>
      <c r="C118" s="24" t="str">
        <f>IF(SUMIF('Big Board (by rank)'!$D:$D,$D118,'Big Board (by rank)'!C:C)=0,"",SUMIF('Big Board (by rank)'!$D:$D,$D118,'Big Board (by rank)'!C:C))</f>
        <v/>
      </c>
      <c r="D118" s="25" t="str">
        <f>IFERROR(VLOOKUP(I118,Selections!B:C,2,FALSE),"")</f>
        <v/>
      </c>
      <c r="E118" s="25" t="str">
        <f>IFERROR(VLOOKUP(D118,'Big Board (by rank)'!D:E,2,FALSE),"")</f>
        <v/>
      </c>
      <c r="F118" s="26"/>
      <c r="G118" s="24" t="str">
        <f>IF(SUMIF('Big Board (by rank)'!D:D,D118,'Big Board (by rank)'!G:G)=0,"",SUMIF('Big Board (by rank)'!D:D,D118,'Big Board (by rank)'!G:G))</f>
        <v/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>
      <c r="A119" s="24" t="str">
        <f>IF(SUMIF('Big Board (by rank)'!$D:$D,$D119,'Big Board (by rank)'!A:A)=0,"",SUMIF('Big Board (by rank)'!$D:$D,$D119,'Big Board (by rank)'!A:A))</f>
        <v/>
      </c>
      <c r="B119" s="24" t="str">
        <f>IF(SUMIF('Big Board (by rank)'!$D:$D,$D119,'Big Board (by rank)'!B:B)=0,"",SUMIF('Big Board (by rank)'!$D:$D,$D119,'Big Board (by rank)'!B:B))</f>
        <v/>
      </c>
      <c r="C119" s="24" t="str">
        <f>IF(SUMIF('Big Board (by rank)'!$D:$D,$D119,'Big Board (by rank)'!C:C)=0,"",SUMIF('Big Board (by rank)'!$D:$D,$D119,'Big Board (by rank)'!C:C))</f>
        <v/>
      </c>
      <c r="D119" s="25" t="str">
        <f>IFERROR(VLOOKUP(I119,Selections!B:C,2,FALSE),"")</f>
        <v/>
      </c>
      <c r="E119" s="25" t="str">
        <f>IFERROR(VLOOKUP(D119,'Big Board (by rank)'!D:E,2,FALSE),"")</f>
        <v/>
      </c>
      <c r="F119" s="26"/>
      <c r="G119" s="24" t="str">
        <f>IF(SUMIF('Big Board (by rank)'!D:D,D119,'Big Board (by rank)'!G:G)=0,"",SUMIF('Big Board (by rank)'!D:D,D119,'Big Board (by rank)'!G:G))</f>
        <v/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>
      <c r="A120" s="24" t="str">
        <f>IF(SUMIF('Big Board (by rank)'!$D:$D,$D120,'Big Board (by rank)'!A:A)=0,"",SUMIF('Big Board (by rank)'!$D:$D,$D120,'Big Board (by rank)'!A:A))</f>
        <v/>
      </c>
      <c r="B120" s="24" t="str">
        <f>IF(SUMIF('Big Board (by rank)'!$D:$D,$D120,'Big Board (by rank)'!B:B)=0,"",SUMIF('Big Board (by rank)'!$D:$D,$D120,'Big Board (by rank)'!B:B))</f>
        <v/>
      </c>
      <c r="C120" s="24" t="str">
        <f>IF(SUMIF('Big Board (by rank)'!$D:$D,$D120,'Big Board (by rank)'!C:C)=0,"",SUMIF('Big Board (by rank)'!$D:$D,$D120,'Big Board (by rank)'!C:C))</f>
        <v/>
      </c>
      <c r="D120" s="25" t="str">
        <f>IFERROR(VLOOKUP(I120,Selections!B:C,2,FALSE),"")</f>
        <v/>
      </c>
      <c r="E120" s="25" t="str">
        <f>IFERROR(VLOOKUP(D120,'Big Board (by rank)'!D:E,2,FALSE),"")</f>
        <v/>
      </c>
      <c r="F120" s="26"/>
      <c r="G120" s="24" t="str">
        <f>IF(SUMIF('Big Board (by rank)'!D:D,D120,'Big Board (by rank)'!G:G)=0,"",SUMIF('Big Board (by rank)'!D:D,D120,'Big Board (by rank)'!G:G))</f>
        <v/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</row>
    <row r="121">
      <c r="A121" s="24" t="str">
        <f>IF(SUMIF('Big Board (by rank)'!$D:$D,$D121,'Big Board (by rank)'!A:A)=0,"",SUMIF('Big Board (by rank)'!$D:$D,$D121,'Big Board (by rank)'!A:A))</f>
        <v/>
      </c>
      <c r="B121" s="24" t="str">
        <f>IF(SUMIF('Big Board (by rank)'!$D:$D,$D121,'Big Board (by rank)'!B:B)=0,"",SUMIF('Big Board (by rank)'!$D:$D,$D121,'Big Board (by rank)'!B:B))</f>
        <v/>
      </c>
      <c r="C121" s="24" t="str">
        <f>IF(SUMIF('Big Board (by rank)'!$D:$D,$D121,'Big Board (by rank)'!C:C)=0,"",SUMIF('Big Board (by rank)'!$D:$D,$D121,'Big Board (by rank)'!C:C))</f>
        <v/>
      </c>
      <c r="D121" s="25" t="str">
        <f>IFERROR(VLOOKUP(I121,Selections!B:C,2,FALSE),"")</f>
        <v/>
      </c>
      <c r="E121" s="25" t="str">
        <f>IFERROR(VLOOKUP(D121,'Big Board (by rank)'!D:E,2,FALSE),"")</f>
        <v/>
      </c>
      <c r="F121" s="26"/>
      <c r="G121" s="24" t="str">
        <f>IF(SUMIF('Big Board (by rank)'!D:D,D121,'Big Board (by rank)'!G:G)=0,"",SUMIF('Big Board (by rank)'!D:D,D121,'Big Board (by rank)'!G:G))</f>
        <v/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</row>
    <row r="122">
      <c r="A122" s="24" t="str">
        <f>IF(SUMIF('Big Board (by rank)'!$D:$D,$D122,'Big Board (by rank)'!A:A)=0,"",SUMIF('Big Board (by rank)'!$D:$D,$D122,'Big Board (by rank)'!A:A))</f>
        <v/>
      </c>
      <c r="B122" s="24" t="str">
        <f>IF(SUMIF('Big Board (by rank)'!$D:$D,$D122,'Big Board (by rank)'!B:B)=0,"",SUMIF('Big Board (by rank)'!$D:$D,$D122,'Big Board (by rank)'!B:B))</f>
        <v/>
      </c>
      <c r="C122" s="24" t="str">
        <f>IF(SUMIF('Big Board (by rank)'!$D:$D,$D122,'Big Board (by rank)'!C:C)=0,"",SUMIF('Big Board (by rank)'!$D:$D,$D122,'Big Board (by rank)'!C:C))</f>
        <v/>
      </c>
      <c r="D122" s="25" t="str">
        <f>IFERROR(VLOOKUP(I122,Selections!B:C,2,FALSE),"")</f>
        <v/>
      </c>
      <c r="E122" s="25" t="str">
        <f>IFERROR(VLOOKUP(D122,'Big Board (by rank)'!D:E,2,FALSE),"")</f>
        <v/>
      </c>
      <c r="F122" s="26"/>
      <c r="G122" s="24" t="str">
        <f>IF(SUMIF('Big Board (by rank)'!D:D,D122,'Big Board (by rank)'!G:G)=0,"",SUMIF('Big Board (by rank)'!D:D,D122,'Big Board (by rank)'!G:G))</f>
        <v/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>
      <c r="A123" s="24" t="str">
        <f>IF(SUMIF('Big Board (by rank)'!$D:$D,$D123,'Big Board (by rank)'!A:A)=0,"",SUMIF('Big Board (by rank)'!$D:$D,$D123,'Big Board (by rank)'!A:A))</f>
        <v/>
      </c>
      <c r="B123" s="24" t="str">
        <f>IF(SUMIF('Big Board (by rank)'!$D:$D,$D123,'Big Board (by rank)'!B:B)=0,"",SUMIF('Big Board (by rank)'!$D:$D,$D123,'Big Board (by rank)'!B:B))</f>
        <v/>
      </c>
      <c r="C123" s="24" t="str">
        <f>IF(SUMIF('Big Board (by rank)'!$D:$D,$D123,'Big Board (by rank)'!C:C)=0,"",SUMIF('Big Board (by rank)'!$D:$D,$D123,'Big Board (by rank)'!C:C))</f>
        <v/>
      </c>
      <c r="D123" s="25" t="str">
        <f>IFERROR(VLOOKUP(I123,Selections!B:C,2,FALSE),"")</f>
        <v/>
      </c>
      <c r="E123" s="25" t="str">
        <f>IFERROR(VLOOKUP(D123,'Big Board (by rank)'!D:E,2,FALSE),"")</f>
        <v/>
      </c>
      <c r="F123" s="26"/>
      <c r="G123" s="24" t="str">
        <f>IF(SUMIF('Big Board (by rank)'!D:D,D123,'Big Board (by rank)'!G:G)=0,"",SUMIF('Big Board (by rank)'!D:D,D123,'Big Board (by rank)'!G:G))</f>
        <v/>
      </c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</row>
    <row r="124">
      <c r="A124" s="24" t="str">
        <f>IF(SUMIF('Big Board (by rank)'!$D:$D,$D124,'Big Board (by rank)'!A:A)=0,"",SUMIF('Big Board (by rank)'!$D:$D,$D124,'Big Board (by rank)'!A:A))</f>
        <v/>
      </c>
      <c r="B124" s="24" t="str">
        <f>IF(SUMIF('Big Board (by rank)'!$D:$D,$D124,'Big Board (by rank)'!B:B)=0,"",SUMIF('Big Board (by rank)'!$D:$D,$D124,'Big Board (by rank)'!B:B))</f>
        <v/>
      </c>
      <c r="C124" s="24" t="str">
        <f>IF(SUMIF('Big Board (by rank)'!$D:$D,$D124,'Big Board (by rank)'!C:C)=0,"",SUMIF('Big Board (by rank)'!$D:$D,$D124,'Big Board (by rank)'!C:C))</f>
        <v/>
      </c>
      <c r="D124" s="25" t="str">
        <f>IFERROR(VLOOKUP(I124,Selections!B:C,2,FALSE),"")</f>
        <v/>
      </c>
      <c r="E124" s="25" t="str">
        <f>IFERROR(VLOOKUP(D124,'Big Board (by rank)'!D:E,2,FALSE),"")</f>
        <v/>
      </c>
      <c r="F124" s="26"/>
      <c r="G124" s="24" t="str">
        <f>IF(SUMIF('Big Board (by rank)'!D:D,D124,'Big Board (by rank)'!G:G)=0,"",SUMIF('Big Board (by rank)'!D:D,D124,'Big Board (by rank)'!G:G))</f>
        <v/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</row>
    <row r="125">
      <c r="A125" s="24" t="str">
        <f>IF(SUMIF('Big Board (by rank)'!$D:$D,$D125,'Big Board (by rank)'!A:A)=0,"",SUMIF('Big Board (by rank)'!$D:$D,$D125,'Big Board (by rank)'!A:A))</f>
        <v/>
      </c>
      <c r="B125" s="24" t="str">
        <f>IF(SUMIF('Big Board (by rank)'!$D:$D,$D125,'Big Board (by rank)'!B:B)=0,"",SUMIF('Big Board (by rank)'!$D:$D,$D125,'Big Board (by rank)'!B:B))</f>
        <v/>
      </c>
      <c r="C125" s="24" t="str">
        <f>IF(SUMIF('Big Board (by rank)'!$D:$D,$D125,'Big Board (by rank)'!C:C)=0,"",SUMIF('Big Board (by rank)'!$D:$D,$D125,'Big Board (by rank)'!C:C))</f>
        <v/>
      </c>
      <c r="D125" s="25" t="str">
        <f>IFERROR(VLOOKUP(I125,Selections!B:C,2,FALSE),"")</f>
        <v/>
      </c>
      <c r="E125" s="25" t="str">
        <f>IFERROR(VLOOKUP(D125,'Big Board (by rank)'!D:E,2,FALSE),"")</f>
        <v/>
      </c>
      <c r="F125" s="26"/>
      <c r="G125" s="24" t="str">
        <f>IF(SUMIF('Big Board (by rank)'!D:D,D125,'Big Board (by rank)'!G:G)=0,"",SUMIF('Big Board (by rank)'!D:D,D125,'Big Board (by rank)'!G:G))</f>
        <v/>
      </c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</row>
    <row r="126">
      <c r="A126" s="24" t="str">
        <f>IF(SUMIF('Big Board (by rank)'!$D:$D,$D126,'Big Board (by rank)'!A:A)=0,"",SUMIF('Big Board (by rank)'!$D:$D,$D126,'Big Board (by rank)'!A:A))</f>
        <v/>
      </c>
      <c r="B126" s="24" t="str">
        <f>IF(SUMIF('Big Board (by rank)'!$D:$D,$D126,'Big Board (by rank)'!B:B)=0,"",SUMIF('Big Board (by rank)'!$D:$D,$D126,'Big Board (by rank)'!B:B))</f>
        <v/>
      </c>
      <c r="C126" s="24" t="str">
        <f>IF(SUMIF('Big Board (by rank)'!$D:$D,$D126,'Big Board (by rank)'!C:C)=0,"",SUMIF('Big Board (by rank)'!$D:$D,$D126,'Big Board (by rank)'!C:C))</f>
        <v/>
      </c>
      <c r="D126" s="25" t="str">
        <f>IFERROR(VLOOKUP(I126,Selections!B:C,2,FALSE),"")</f>
        <v/>
      </c>
      <c r="E126" s="25" t="str">
        <f>IFERROR(VLOOKUP(D126,'Big Board (by rank)'!D:E,2,FALSE),"")</f>
        <v/>
      </c>
      <c r="F126" s="26"/>
      <c r="G126" s="24" t="str">
        <f>IF(SUMIF('Big Board (by rank)'!D:D,D126,'Big Board (by rank)'!G:G)=0,"",SUMIF('Big Board (by rank)'!D:D,D126,'Big Board (by rank)'!G:G))</f>
        <v/>
      </c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</row>
    <row r="127">
      <c r="A127" s="24" t="str">
        <f>IF(SUMIF('Big Board (by rank)'!$D:$D,$D127,'Big Board (by rank)'!A:A)=0,"",SUMIF('Big Board (by rank)'!$D:$D,$D127,'Big Board (by rank)'!A:A))</f>
        <v/>
      </c>
      <c r="B127" s="24" t="str">
        <f>IF(SUMIF('Big Board (by rank)'!$D:$D,$D127,'Big Board (by rank)'!B:B)=0,"",SUMIF('Big Board (by rank)'!$D:$D,$D127,'Big Board (by rank)'!B:B))</f>
        <v/>
      </c>
      <c r="C127" s="24" t="str">
        <f>IF(SUMIF('Big Board (by rank)'!$D:$D,$D127,'Big Board (by rank)'!C:C)=0,"",SUMIF('Big Board (by rank)'!$D:$D,$D127,'Big Board (by rank)'!C:C))</f>
        <v/>
      </c>
      <c r="D127" s="25" t="str">
        <f>IFERROR(VLOOKUP(I127,Selections!B:C,2,FALSE),"")</f>
        <v/>
      </c>
      <c r="E127" s="25" t="str">
        <f>IFERROR(VLOOKUP(D127,'Big Board (by rank)'!D:E,2,FALSE),"")</f>
        <v/>
      </c>
      <c r="F127" s="26"/>
      <c r="G127" s="24" t="str">
        <f>IF(SUMIF('Big Board (by rank)'!D:D,D127,'Big Board (by rank)'!G:G)=0,"",SUMIF('Big Board (by rank)'!D:D,D127,'Big Board (by rank)'!G:G))</f>
        <v/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</row>
    <row r="128">
      <c r="A128" s="24" t="str">
        <f>IF(SUMIF('Big Board (by rank)'!$D:$D,$D128,'Big Board (by rank)'!A:A)=0,"",SUMIF('Big Board (by rank)'!$D:$D,$D128,'Big Board (by rank)'!A:A))</f>
        <v/>
      </c>
      <c r="B128" s="24" t="str">
        <f>IF(SUMIF('Big Board (by rank)'!$D:$D,$D128,'Big Board (by rank)'!B:B)=0,"",SUMIF('Big Board (by rank)'!$D:$D,$D128,'Big Board (by rank)'!B:B))</f>
        <v/>
      </c>
      <c r="C128" s="24" t="str">
        <f>IF(SUMIF('Big Board (by rank)'!$D:$D,$D128,'Big Board (by rank)'!C:C)=0,"",SUMIF('Big Board (by rank)'!$D:$D,$D128,'Big Board (by rank)'!C:C))</f>
        <v/>
      </c>
      <c r="D128" s="25" t="str">
        <f>IFERROR(VLOOKUP(I128,Selections!B:C,2,FALSE),"")</f>
        <v/>
      </c>
      <c r="E128" s="25" t="str">
        <f>IFERROR(VLOOKUP(D128,'Big Board (by rank)'!D:E,2,FALSE),"")</f>
        <v/>
      </c>
      <c r="F128" s="26"/>
      <c r="G128" s="24" t="str">
        <f>IF(SUMIF('Big Board (by rank)'!D:D,D128,'Big Board (by rank)'!G:G)=0,"",SUMIF('Big Board (by rank)'!D:D,D128,'Big Board (by rank)'!G:G))</f>
        <v/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</row>
    <row r="129">
      <c r="A129" s="24" t="str">
        <f>IF(SUMIF('Big Board (by rank)'!$D:$D,$D129,'Big Board (by rank)'!A:A)=0,"",SUMIF('Big Board (by rank)'!$D:$D,$D129,'Big Board (by rank)'!A:A))</f>
        <v/>
      </c>
      <c r="B129" s="24" t="str">
        <f>IF(SUMIF('Big Board (by rank)'!$D:$D,$D129,'Big Board (by rank)'!B:B)=0,"",SUMIF('Big Board (by rank)'!$D:$D,$D129,'Big Board (by rank)'!B:B))</f>
        <v/>
      </c>
      <c r="C129" s="24" t="str">
        <f>IF(SUMIF('Big Board (by rank)'!$D:$D,$D129,'Big Board (by rank)'!C:C)=0,"",SUMIF('Big Board (by rank)'!$D:$D,$D129,'Big Board (by rank)'!C:C))</f>
        <v/>
      </c>
      <c r="D129" s="25" t="str">
        <f>IFERROR(VLOOKUP(I129,Selections!B:C,2,FALSE),"")</f>
        <v/>
      </c>
      <c r="E129" s="25" t="str">
        <f>IFERROR(VLOOKUP(D129,'Big Board (by rank)'!D:E,2,FALSE),"")</f>
        <v/>
      </c>
      <c r="F129" s="26"/>
      <c r="G129" s="24" t="str">
        <f>IF(SUMIF('Big Board (by rank)'!D:D,D129,'Big Board (by rank)'!G:G)=0,"",SUMIF('Big Board (by rank)'!D:D,D129,'Big Board (by rank)'!G:G))</f>
        <v/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</row>
    <row r="130">
      <c r="A130" s="24" t="str">
        <f>IF(SUMIF('Big Board (by rank)'!$D:$D,$D130,'Big Board (by rank)'!A:A)=0,"",SUMIF('Big Board (by rank)'!$D:$D,$D130,'Big Board (by rank)'!A:A))</f>
        <v/>
      </c>
      <c r="B130" s="24" t="str">
        <f>IF(SUMIF('Big Board (by rank)'!$D:$D,$D130,'Big Board (by rank)'!B:B)=0,"",SUMIF('Big Board (by rank)'!$D:$D,$D130,'Big Board (by rank)'!B:B))</f>
        <v/>
      </c>
      <c r="C130" s="24" t="str">
        <f>IF(SUMIF('Big Board (by rank)'!$D:$D,$D130,'Big Board (by rank)'!C:C)=0,"",SUMIF('Big Board (by rank)'!$D:$D,$D130,'Big Board (by rank)'!C:C))</f>
        <v/>
      </c>
      <c r="D130" s="25" t="str">
        <f>IFERROR(VLOOKUP(I130,Selections!B:C,2,FALSE),"")</f>
        <v/>
      </c>
      <c r="E130" s="25" t="str">
        <f>IFERROR(VLOOKUP(D130,'Big Board (by rank)'!D:E,2,FALSE),"")</f>
        <v/>
      </c>
      <c r="F130" s="26"/>
      <c r="G130" s="24" t="str">
        <f>IF(SUMIF('Big Board (by rank)'!D:D,D130,'Big Board (by rank)'!G:G)=0,"",SUMIF('Big Board (by rank)'!D:D,D130,'Big Board (by rank)'!G:G))</f>
        <v/>
      </c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</row>
    <row r="131">
      <c r="A131" s="24" t="str">
        <f>IF(SUMIF('Big Board (by rank)'!$D:$D,$D131,'Big Board (by rank)'!A:A)=0,"",SUMIF('Big Board (by rank)'!$D:$D,$D131,'Big Board (by rank)'!A:A))</f>
        <v/>
      </c>
      <c r="B131" s="24" t="str">
        <f>IF(SUMIF('Big Board (by rank)'!$D:$D,$D131,'Big Board (by rank)'!B:B)=0,"",SUMIF('Big Board (by rank)'!$D:$D,$D131,'Big Board (by rank)'!B:B))</f>
        <v/>
      </c>
      <c r="C131" s="24" t="str">
        <f>IF(SUMIF('Big Board (by rank)'!$D:$D,$D131,'Big Board (by rank)'!C:C)=0,"",SUMIF('Big Board (by rank)'!$D:$D,$D131,'Big Board (by rank)'!C:C))</f>
        <v/>
      </c>
      <c r="D131" s="25" t="str">
        <f>IFERROR(VLOOKUP(I131,Selections!B:C,2,FALSE),"")</f>
        <v/>
      </c>
      <c r="E131" s="25" t="str">
        <f>IFERROR(VLOOKUP(D131,'Big Board (by rank)'!D:E,2,FALSE),"")</f>
        <v/>
      </c>
      <c r="F131" s="26"/>
      <c r="G131" s="24" t="str">
        <f>IF(SUMIF('Big Board (by rank)'!D:D,D131,'Big Board (by rank)'!G:G)=0,"",SUMIF('Big Board (by rank)'!D:D,D131,'Big Board (by rank)'!G:G))</f>
        <v/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</row>
    <row r="132">
      <c r="A132" s="24" t="str">
        <f>IF(SUMIF('Big Board (by rank)'!$D:$D,$D132,'Big Board (by rank)'!A:A)=0,"",SUMIF('Big Board (by rank)'!$D:$D,$D132,'Big Board (by rank)'!A:A))</f>
        <v/>
      </c>
      <c r="B132" s="24" t="str">
        <f>IF(SUMIF('Big Board (by rank)'!$D:$D,$D132,'Big Board (by rank)'!B:B)=0,"",SUMIF('Big Board (by rank)'!$D:$D,$D132,'Big Board (by rank)'!B:B))</f>
        <v/>
      </c>
      <c r="C132" s="24" t="str">
        <f>IF(SUMIF('Big Board (by rank)'!$D:$D,$D132,'Big Board (by rank)'!C:C)=0,"",SUMIF('Big Board (by rank)'!$D:$D,$D132,'Big Board (by rank)'!C:C))</f>
        <v/>
      </c>
      <c r="D132" s="25" t="str">
        <f>IFERROR(VLOOKUP(I132,Selections!B:C,2,FALSE),"")</f>
        <v/>
      </c>
      <c r="E132" s="25" t="str">
        <f>IFERROR(VLOOKUP(D132,'Big Board (by rank)'!D:E,2,FALSE),"")</f>
        <v/>
      </c>
      <c r="F132" s="26"/>
      <c r="G132" s="24" t="str">
        <f>IF(SUMIF('Big Board (by rank)'!D:D,D132,'Big Board (by rank)'!G:G)=0,"",SUMIF('Big Board (by rank)'!D:D,D132,'Big Board (by rank)'!G:G))</f>
        <v/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</row>
    <row r="133">
      <c r="A133" s="24" t="str">
        <f>IF(SUMIF('Big Board (by rank)'!$D:$D,$D133,'Big Board (by rank)'!A:A)=0,"",SUMIF('Big Board (by rank)'!$D:$D,$D133,'Big Board (by rank)'!A:A))</f>
        <v/>
      </c>
      <c r="B133" s="24" t="str">
        <f>IF(SUMIF('Big Board (by rank)'!$D:$D,$D133,'Big Board (by rank)'!B:B)=0,"",SUMIF('Big Board (by rank)'!$D:$D,$D133,'Big Board (by rank)'!B:B))</f>
        <v/>
      </c>
      <c r="C133" s="24" t="str">
        <f>IF(SUMIF('Big Board (by rank)'!$D:$D,$D133,'Big Board (by rank)'!C:C)=0,"",SUMIF('Big Board (by rank)'!$D:$D,$D133,'Big Board (by rank)'!C:C))</f>
        <v/>
      </c>
      <c r="D133" s="25" t="str">
        <f>IFERROR(VLOOKUP(I133,Selections!B:C,2,FALSE),"")</f>
        <v/>
      </c>
      <c r="E133" s="25" t="str">
        <f>IFERROR(VLOOKUP(D133,'Big Board (by rank)'!D:E,2,FALSE),"")</f>
        <v/>
      </c>
      <c r="F133" s="26"/>
      <c r="G133" s="24" t="str">
        <f>IF(SUMIF('Big Board (by rank)'!D:D,D133,'Big Board (by rank)'!G:G)=0,"",SUMIF('Big Board (by rank)'!D:D,D133,'Big Board (by rank)'!G:G))</f>
        <v/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</row>
    <row r="134">
      <c r="A134" s="24" t="str">
        <f>IF(SUMIF('Big Board (by rank)'!$D:$D,$D134,'Big Board (by rank)'!A:A)=0,"",SUMIF('Big Board (by rank)'!$D:$D,$D134,'Big Board (by rank)'!A:A))</f>
        <v/>
      </c>
      <c r="B134" s="24" t="str">
        <f>IF(SUMIF('Big Board (by rank)'!$D:$D,$D134,'Big Board (by rank)'!B:B)=0,"",SUMIF('Big Board (by rank)'!$D:$D,$D134,'Big Board (by rank)'!B:B))</f>
        <v/>
      </c>
      <c r="C134" s="24" t="str">
        <f>IF(SUMIF('Big Board (by rank)'!$D:$D,$D134,'Big Board (by rank)'!C:C)=0,"",SUMIF('Big Board (by rank)'!$D:$D,$D134,'Big Board (by rank)'!C:C))</f>
        <v/>
      </c>
      <c r="D134" s="25" t="str">
        <f>IFERROR(VLOOKUP(I134,Selections!B:C,2,FALSE),"")</f>
        <v/>
      </c>
      <c r="E134" s="25" t="str">
        <f>IFERROR(VLOOKUP(D134,'Big Board (by rank)'!D:E,2,FALSE),"")</f>
        <v/>
      </c>
      <c r="F134" s="26"/>
      <c r="G134" s="24" t="str">
        <f>IF(SUMIF('Big Board (by rank)'!D:D,D134,'Big Board (by rank)'!G:G)=0,"",SUMIF('Big Board (by rank)'!D:D,D134,'Big Board (by rank)'!G:G))</f>
        <v/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</row>
    <row r="135">
      <c r="A135" s="24" t="str">
        <f>IF(SUMIF('Big Board (by rank)'!$D:$D,$D135,'Big Board (by rank)'!A:A)=0,"",SUMIF('Big Board (by rank)'!$D:$D,$D135,'Big Board (by rank)'!A:A))</f>
        <v/>
      </c>
      <c r="B135" s="24" t="str">
        <f>IF(SUMIF('Big Board (by rank)'!$D:$D,$D135,'Big Board (by rank)'!B:B)=0,"",SUMIF('Big Board (by rank)'!$D:$D,$D135,'Big Board (by rank)'!B:B))</f>
        <v/>
      </c>
      <c r="C135" s="24" t="str">
        <f>IF(SUMIF('Big Board (by rank)'!$D:$D,$D135,'Big Board (by rank)'!C:C)=0,"",SUMIF('Big Board (by rank)'!$D:$D,$D135,'Big Board (by rank)'!C:C))</f>
        <v/>
      </c>
      <c r="D135" s="25" t="str">
        <f>IFERROR(VLOOKUP(I135,Selections!B:C,2,FALSE),"")</f>
        <v/>
      </c>
      <c r="E135" s="25" t="str">
        <f>IFERROR(VLOOKUP(D135,'Big Board (by rank)'!D:E,2,FALSE),"")</f>
        <v/>
      </c>
      <c r="F135" s="26"/>
      <c r="G135" s="24" t="str">
        <f>IF(SUMIF('Big Board (by rank)'!D:D,D135,'Big Board (by rank)'!G:G)=0,"",SUMIF('Big Board (by rank)'!D:D,D135,'Big Board (by rank)'!G:G))</f>
        <v/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</row>
    <row r="136">
      <c r="A136" s="24" t="str">
        <f>IF(SUMIF('Big Board (by rank)'!$D:$D,$D136,'Big Board (by rank)'!A:A)=0,"",SUMIF('Big Board (by rank)'!$D:$D,$D136,'Big Board (by rank)'!A:A))</f>
        <v/>
      </c>
      <c r="B136" s="24" t="str">
        <f>IF(SUMIF('Big Board (by rank)'!$D:$D,$D136,'Big Board (by rank)'!B:B)=0,"",SUMIF('Big Board (by rank)'!$D:$D,$D136,'Big Board (by rank)'!B:B))</f>
        <v/>
      </c>
      <c r="C136" s="24" t="str">
        <f>IF(SUMIF('Big Board (by rank)'!$D:$D,$D136,'Big Board (by rank)'!C:C)=0,"",SUMIF('Big Board (by rank)'!$D:$D,$D136,'Big Board (by rank)'!C:C))</f>
        <v/>
      </c>
      <c r="D136" s="25" t="str">
        <f>IFERROR(VLOOKUP(I136,Selections!B:C,2,FALSE),"")</f>
        <v/>
      </c>
      <c r="E136" s="25" t="str">
        <f>IFERROR(VLOOKUP(D136,'Big Board (by rank)'!D:E,2,FALSE),"")</f>
        <v/>
      </c>
      <c r="F136" s="26"/>
      <c r="G136" s="24" t="str">
        <f>IF(SUMIF('Big Board (by rank)'!D:D,D136,'Big Board (by rank)'!G:G)=0,"",SUMIF('Big Board (by rank)'!D:D,D136,'Big Board (by rank)'!G:G))</f>
        <v/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</row>
    <row r="137">
      <c r="A137" s="24" t="str">
        <f>IF(SUMIF('Big Board (by rank)'!$D:$D,$D137,'Big Board (by rank)'!A:A)=0,"",SUMIF('Big Board (by rank)'!$D:$D,$D137,'Big Board (by rank)'!A:A))</f>
        <v/>
      </c>
      <c r="B137" s="24" t="str">
        <f>IF(SUMIF('Big Board (by rank)'!$D:$D,$D137,'Big Board (by rank)'!B:B)=0,"",SUMIF('Big Board (by rank)'!$D:$D,$D137,'Big Board (by rank)'!B:B))</f>
        <v/>
      </c>
      <c r="C137" s="24" t="str">
        <f>IF(SUMIF('Big Board (by rank)'!$D:$D,$D137,'Big Board (by rank)'!C:C)=0,"",SUMIF('Big Board (by rank)'!$D:$D,$D137,'Big Board (by rank)'!C:C))</f>
        <v/>
      </c>
      <c r="D137" s="25" t="str">
        <f>IFERROR(VLOOKUP(I137,Selections!B:C,2,FALSE),"")</f>
        <v/>
      </c>
      <c r="E137" s="25" t="str">
        <f>IFERROR(VLOOKUP(D137,'Big Board (by rank)'!D:E,2,FALSE),"")</f>
        <v/>
      </c>
      <c r="F137" s="26"/>
      <c r="G137" s="24" t="str">
        <f>IF(SUMIF('Big Board (by rank)'!D:D,D137,'Big Board (by rank)'!G:G)=0,"",SUMIF('Big Board (by rank)'!D:D,D137,'Big Board (by rank)'!G:G))</f>
        <v/>
      </c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</row>
    <row r="138">
      <c r="A138" s="24" t="str">
        <f>IF(SUMIF('Big Board (by rank)'!$D:$D,$D138,'Big Board (by rank)'!A:A)=0,"",SUMIF('Big Board (by rank)'!$D:$D,$D138,'Big Board (by rank)'!A:A))</f>
        <v/>
      </c>
      <c r="B138" s="24" t="str">
        <f>IF(SUMIF('Big Board (by rank)'!$D:$D,$D138,'Big Board (by rank)'!B:B)=0,"",SUMIF('Big Board (by rank)'!$D:$D,$D138,'Big Board (by rank)'!B:B))</f>
        <v/>
      </c>
      <c r="C138" s="24" t="str">
        <f>IF(SUMIF('Big Board (by rank)'!$D:$D,$D138,'Big Board (by rank)'!C:C)=0,"",SUMIF('Big Board (by rank)'!$D:$D,$D138,'Big Board (by rank)'!C:C))</f>
        <v/>
      </c>
      <c r="D138" s="25" t="str">
        <f>IFERROR(VLOOKUP(I138,Selections!B:C,2,FALSE),"")</f>
        <v/>
      </c>
      <c r="E138" s="25" t="str">
        <f>IFERROR(VLOOKUP(D138,'Big Board (by rank)'!D:E,2,FALSE),"")</f>
        <v/>
      </c>
      <c r="F138" s="26"/>
      <c r="G138" s="24" t="str">
        <f>IF(SUMIF('Big Board (by rank)'!D:D,D138,'Big Board (by rank)'!G:G)=0,"",SUMIF('Big Board (by rank)'!D:D,D138,'Big Board (by rank)'!G:G))</f>
        <v/>
      </c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</row>
    <row r="139">
      <c r="A139" s="24" t="str">
        <f>IF(SUMIF('Big Board (by rank)'!$D:$D,$D139,'Big Board (by rank)'!A:A)=0,"",SUMIF('Big Board (by rank)'!$D:$D,$D139,'Big Board (by rank)'!A:A))</f>
        <v/>
      </c>
      <c r="B139" s="24" t="str">
        <f>IF(SUMIF('Big Board (by rank)'!$D:$D,$D139,'Big Board (by rank)'!B:B)=0,"",SUMIF('Big Board (by rank)'!$D:$D,$D139,'Big Board (by rank)'!B:B))</f>
        <v/>
      </c>
      <c r="C139" s="24" t="str">
        <f>IF(SUMIF('Big Board (by rank)'!$D:$D,$D139,'Big Board (by rank)'!C:C)=0,"",SUMIF('Big Board (by rank)'!$D:$D,$D139,'Big Board (by rank)'!C:C))</f>
        <v/>
      </c>
      <c r="D139" s="25" t="str">
        <f>IFERROR(VLOOKUP(I139,Selections!B:C,2,FALSE),"")</f>
        <v/>
      </c>
      <c r="E139" s="25" t="str">
        <f>IFERROR(VLOOKUP(D139,'Big Board (by rank)'!D:E,2,FALSE),"")</f>
        <v/>
      </c>
      <c r="F139" s="26"/>
      <c r="G139" s="24" t="str">
        <f>IF(SUMIF('Big Board (by rank)'!D:D,D139,'Big Board (by rank)'!G:G)=0,"",SUMIF('Big Board (by rank)'!D:D,D139,'Big Board (by rank)'!G:G))</f>
        <v/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</row>
    <row r="140">
      <c r="A140" s="24" t="str">
        <f>IF(SUMIF('Big Board (by rank)'!$D:$D,$D140,'Big Board (by rank)'!A:A)=0,"",SUMIF('Big Board (by rank)'!$D:$D,$D140,'Big Board (by rank)'!A:A))</f>
        <v/>
      </c>
      <c r="B140" s="24" t="str">
        <f>IF(SUMIF('Big Board (by rank)'!$D:$D,$D140,'Big Board (by rank)'!B:B)=0,"",SUMIF('Big Board (by rank)'!$D:$D,$D140,'Big Board (by rank)'!B:B))</f>
        <v/>
      </c>
      <c r="C140" s="24" t="str">
        <f>IF(SUMIF('Big Board (by rank)'!$D:$D,$D140,'Big Board (by rank)'!C:C)=0,"",SUMIF('Big Board (by rank)'!$D:$D,$D140,'Big Board (by rank)'!C:C))</f>
        <v/>
      </c>
      <c r="D140" s="25" t="str">
        <f>IFERROR(VLOOKUP(I140,Selections!B:C,2,FALSE),"")</f>
        <v/>
      </c>
      <c r="E140" s="25" t="str">
        <f>IFERROR(VLOOKUP(D140,'Big Board (by rank)'!D:E,2,FALSE),"")</f>
        <v/>
      </c>
      <c r="F140" s="26"/>
      <c r="G140" s="24" t="str">
        <f>IF(SUMIF('Big Board (by rank)'!D:D,D140,'Big Board (by rank)'!G:G)=0,"",SUMIF('Big Board (by rank)'!D:D,D140,'Big Board (by rank)'!G:G))</f>
        <v/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</row>
    <row r="141">
      <c r="A141" s="24" t="str">
        <f>IF(SUMIF('Big Board (by rank)'!$D:$D,$D141,'Big Board (by rank)'!A:A)=0,"",SUMIF('Big Board (by rank)'!$D:$D,$D141,'Big Board (by rank)'!A:A))</f>
        <v/>
      </c>
      <c r="B141" s="24" t="str">
        <f>IF(SUMIF('Big Board (by rank)'!$D:$D,$D141,'Big Board (by rank)'!B:B)=0,"",SUMIF('Big Board (by rank)'!$D:$D,$D141,'Big Board (by rank)'!B:B))</f>
        <v/>
      </c>
      <c r="C141" s="24" t="str">
        <f>IF(SUMIF('Big Board (by rank)'!$D:$D,$D141,'Big Board (by rank)'!C:C)=0,"",SUMIF('Big Board (by rank)'!$D:$D,$D141,'Big Board (by rank)'!C:C))</f>
        <v/>
      </c>
      <c r="D141" s="25" t="str">
        <f>IFERROR(VLOOKUP(I141,Selections!B:C,2,FALSE),"")</f>
        <v/>
      </c>
      <c r="E141" s="25" t="str">
        <f>IFERROR(VLOOKUP(D141,'Big Board (by rank)'!D:E,2,FALSE),"")</f>
        <v/>
      </c>
      <c r="F141" s="26"/>
      <c r="G141" s="24" t="str">
        <f>IF(SUMIF('Big Board (by rank)'!D:D,D141,'Big Board (by rank)'!G:G)=0,"",SUMIF('Big Board (by rank)'!D:D,D141,'Big Board (by rank)'!G:G))</f>
        <v/>
      </c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>
      <c r="A142" s="24" t="str">
        <f>IF(SUMIF('Big Board (by rank)'!$D:$D,$D142,'Big Board (by rank)'!A:A)=0,"",SUMIF('Big Board (by rank)'!$D:$D,$D142,'Big Board (by rank)'!A:A))</f>
        <v/>
      </c>
      <c r="B142" s="24" t="str">
        <f>IF(SUMIF('Big Board (by rank)'!$D:$D,$D142,'Big Board (by rank)'!B:B)=0,"",SUMIF('Big Board (by rank)'!$D:$D,$D142,'Big Board (by rank)'!B:B))</f>
        <v/>
      </c>
      <c r="C142" s="24" t="str">
        <f>IF(SUMIF('Big Board (by rank)'!$D:$D,$D142,'Big Board (by rank)'!C:C)=0,"",SUMIF('Big Board (by rank)'!$D:$D,$D142,'Big Board (by rank)'!C:C))</f>
        <v/>
      </c>
      <c r="D142" s="25" t="str">
        <f>IFERROR(VLOOKUP(I142,Selections!B:C,2,FALSE),"")</f>
        <v/>
      </c>
      <c r="E142" s="25" t="str">
        <f>IFERROR(VLOOKUP(D142,'Big Board (by rank)'!D:E,2,FALSE),"")</f>
        <v/>
      </c>
      <c r="F142" s="26"/>
      <c r="G142" s="24" t="str">
        <f>IF(SUMIF('Big Board (by rank)'!D:D,D142,'Big Board (by rank)'!G:G)=0,"",SUMIF('Big Board (by rank)'!D:D,D142,'Big Board (by rank)'!G:G))</f>
        <v/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</row>
    <row r="143">
      <c r="A143" s="24" t="str">
        <f>IF(SUMIF('Big Board (by rank)'!$D:$D,$D143,'Big Board (by rank)'!A:A)=0,"",SUMIF('Big Board (by rank)'!$D:$D,$D143,'Big Board (by rank)'!A:A))</f>
        <v/>
      </c>
      <c r="B143" s="24" t="str">
        <f>IF(SUMIF('Big Board (by rank)'!$D:$D,$D143,'Big Board (by rank)'!B:B)=0,"",SUMIF('Big Board (by rank)'!$D:$D,$D143,'Big Board (by rank)'!B:B))</f>
        <v/>
      </c>
      <c r="C143" s="24" t="str">
        <f>IF(SUMIF('Big Board (by rank)'!$D:$D,$D143,'Big Board (by rank)'!C:C)=0,"",SUMIF('Big Board (by rank)'!$D:$D,$D143,'Big Board (by rank)'!C:C))</f>
        <v/>
      </c>
      <c r="D143" s="25" t="str">
        <f>IFERROR(VLOOKUP(I143,Selections!B:C,2,FALSE),"")</f>
        <v/>
      </c>
      <c r="E143" s="25" t="str">
        <f>IFERROR(VLOOKUP(D143,'Big Board (by rank)'!D:E,2,FALSE),"")</f>
        <v/>
      </c>
      <c r="F143" s="26"/>
      <c r="G143" s="24" t="str">
        <f>IF(SUMIF('Big Board (by rank)'!D:D,D143,'Big Board (by rank)'!G:G)=0,"",SUMIF('Big Board (by rank)'!D:D,D143,'Big Board (by rank)'!G:G))</f>
        <v/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</row>
    <row r="144">
      <c r="A144" s="24" t="str">
        <f>IF(SUMIF('Big Board (by rank)'!$D:$D,$D144,'Big Board (by rank)'!A:A)=0,"",SUMIF('Big Board (by rank)'!$D:$D,$D144,'Big Board (by rank)'!A:A))</f>
        <v/>
      </c>
      <c r="B144" s="24" t="str">
        <f>IF(SUMIF('Big Board (by rank)'!$D:$D,$D144,'Big Board (by rank)'!B:B)=0,"",SUMIF('Big Board (by rank)'!$D:$D,$D144,'Big Board (by rank)'!B:B))</f>
        <v/>
      </c>
      <c r="C144" s="24" t="str">
        <f>IF(SUMIF('Big Board (by rank)'!$D:$D,$D144,'Big Board (by rank)'!C:C)=0,"",SUMIF('Big Board (by rank)'!$D:$D,$D144,'Big Board (by rank)'!C:C))</f>
        <v/>
      </c>
      <c r="D144" s="25" t="str">
        <f>IFERROR(VLOOKUP(I144,Selections!B:C,2,FALSE),"")</f>
        <v/>
      </c>
      <c r="E144" s="25" t="str">
        <f>IFERROR(VLOOKUP(D144,'Big Board (by rank)'!D:E,2,FALSE),"")</f>
        <v/>
      </c>
      <c r="F144" s="26"/>
      <c r="G144" s="24" t="str">
        <f>IF(SUMIF('Big Board (by rank)'!D:D,D144,'Big Board (by rank)'!G:G)=0,"",SUMIF('Big Board (by rank)'!D:D,D144,'Big Board (by rank)'!G:G))</f>
        <v/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</row>
    <row r="145">
      <c r="A145" s="24" t="str">
        <f>IF(SUMIF('Big Board (by rank)'!$D:$D,$D145,'Big Board (by rank)'!A:A)=0,"",SUMIF('Big Board (by rank)'!$D:$D,$D145,'Big Board (by rank)'!A:A))</f>
        <v/>
      </c>
      <c r="B145" s="24" t="str">
        <f>IF(SUMIF('Big Board (by rank)'!$D:$D,$D145,'Big Board (by rank)'!B:B)=0,"",SUMIF('Big Board (by rank)'!$D:$D,$D145,'Big Board (by rank)'!B:B))</f>
        <v/>
      </c>
      <c r="C145" s="24" t="str">
        <f>IF(SUMIF('Big Board (by rank)'!$D:$D,$D145,'Big Board (by rank)'!C:C)=0,"",SUMIF('Big Board (by rank)'!$D:$D,$D145,'Big Board (by rank)'!C:C))</f>
        <v/>
      </c>
      <c r="D145" s="25" t="str">
        <f>IFERROR(VLOOKUP(I145,Selections!B:C,2,FALSE),"")</f>
        <v/>
      </c>
      <c r="E145" s="25" t="str">
        <f>IFERROR(VLOOKUP(D145,'Big Board (by rank)'!D:E,2,FALSE),"")</f>
        <v/>
      </c>
      <c r="F145" s="26"/>
      <c r="G145" s="24" t="str">
        <f>IF(SUMIF('Big Board (by rank)'!D:D,D145,'Big Board (by rank)'!G:G)=0,"",SUMIF('Big Board (by rank)'!D:D,D145,'Big Board (by rank)'!G:G))</f>
        <v/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</row>
    <row r="146">
      <c r="A146" s="24" t="str">
        <f>IF(SUMIF('Big Board (by rank)'!$D:$D,$D146,'Big Board (by rank)'!A:A)=0,"",SUMIF('Big Board (by rank)'!$D:$D,$D146,'Big Board (by rank)'!A:A))</f>
        <v/>
      </c>
      <c r="B146" s="24" t="str">
        <f>IF(SUMIF('Big Board (by rank)'!$D:$D,$D146,'Big Board (by rank)'!B:B)=0,"",SUMIF('Big Board (by rank)'!$D:$D,$D146,'Big Board (by rank)'!B:B))</f>
        <v/>
      </c>
      <c r="C146" s="24" t="str">
        <f>IF(SUMIF('Big Board (by rank)'!$D:$D,$D146,'Big Board (by rank)'!C:C)=0,"",SUMIF('Big Board (by rank)'!$D:$D,$D146,'Big Board (by rank)'!C:C))</f>
        <v/>
      </c>
      <c r="D146" s="25" t="str">
        <f>IFERROR(VLOOKUP(I146,Selections!B:C,2,FALSE),"")</f>
        <v/>
      </c>
      <c r="E146" s="25" t="str">
        <f>IFERROR(VLOOKUP(D146,'Big Board (by rank)'!D:E,2,FALSE),"")</f>
        <v/>
      </c>
      <c r="F146" s="26"/>
      <c r="G146" s="24" t="str">
        <f>IF(SUMIF('Big Board (by rank)'!D:D,D146,'Big Board (by rank)'!G:G)=0,"",SUMIF('Big Board (by rank)'!D:D,D146,'Big Board (by rank)'!G:G))</f>
        <v/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</row>
    <row r="147">
      <c r="A147" s="24" t="str">
        <f>IF(SUMIF('Big Board (by rank)'!$D:$D,$D147,'Big Board (by rank)'!A:A)=0,"",SUMIF('Big Board (by rank)'!$D:$D,$D147,'Big Board (by rank)'!A:A))</f>
        <v/>
      </c>
      <c r="B147" s="24" t="str">
        <f>IF(SUMIF('Big Board (by rank)'!$D:$D,$D147,'Big Board (by rank)'!B:B)=0,"",SUMIF('Big Board (by rank)'!$D:$D,$D147,'Big Board (by rank)'!B:B))</f>
        <v/>
      </c>
      <c r="C147" s="24" t="str">
        <f>IF(SUMIF('Big Board (by rank)'!$D:$D,$D147,'Big Board (by rank)'!C:C)=0,"",SUMIF('Big Board (by rank)'!$D:$D,$D147,'Big Board (by rank)'!C:C))</f>
        <v/>
      </c>
      <c r="D147" s="25" t="str">
        <f>IFERROR(VLOOKUP(I147,Selections!B:C,2,FALSE),"")</f>
        <v/>
      </c>
      <c r="E147" s="25" t="str">
        <f>IFERROR(VLOOKUP(D147,'Big Board (by rank)'!D:E,2,FALSE),"")</f>
        <v/>
      </c>
      <c r="F147" s="26"/>
      <c r="G147" s="24" t="str">
        <f>IF(SUMIF('Big Board (by rank)'!D:D,D147,'Big Board (by rank)'!G:G)=0,"",SUMIF('Big Board (by rank)'!D:D,D147,'Big Board (by rank)'!G:G))</f>
        <v/>
      </c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</row>
    <row r="148">
      <c r="A148" s="24" t="str">
        <f>IF(SUMIF('Big Board (by rank)'!$D:$D,$D148,'Big Board (by rank)'!A:A)=0,"",SUMIF('Big Board (by rank)'!$D:$D,$D148,'Big Board (by rank)'!A:A))</f>
        <v/>
      </c>
      <c r="B148" s="24" t="str">
        <f>IF(SUMIF('Big Board (by rank)'!$D:$D,$D148,'Big Board (by rank)'!B:B)=0,"",SUMIF('Big Board (by rank)'!$D:$D,$D148,'Big Board (by rank)'!B:B))</f>
        <v/>
      </c>
      <c r="C148" s="24" t="str">
        <f>IF(SUMIF('Big Board (by rank)'!$D:$D,$D148,'Big Board (by rank)'!C:C)=0,"",SUMIF('Big Board (by rank)'!$D:$D,$D148,'Big Board (by rank)'!C:C))</f>
        <v/>
      </c>
      <c r="D148" s="25" t="str">
        <f>IFERROR(VLOOKUP(I148,Selections!B:C,2,FALSE),"")</f>
        <v/>
      </c>
      <c r="E148" s="25" t="str">
        <f>IFERROR(VLOOKUP(D148,'Big Board (by rank)'!D:E,2,FALSE),"")</f>
        <v/>
      </c>
      <c r="F148" s="26"/>
      <c r="G148" s="24" t="str">
        <f>IF(SUMIF('Big Board (by rank)'!D:D,D148,'Big Board (by rank)'!G:G)=0,"",SUMIF('Big Board (by rank)'!D:D,D148,'Big Board (by rank)'!G:G))</f>
        <v/>
      </c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</row>
    <row r="149">
      <c r="A149" s="24" t="str">
        <f>IF(SUMIF('Big Board (by rank)'!$D:$D,$D149,'Big Board (by rank)'!A:A)=0,"",SUMIF('Big Board (by rank)'!$D:$D,$D149,'Big Board (by rank)'!A:A))</f>
        <v/>
      </c>
      <c r="B149" s="24" t="str">
        <f>IF(SUMIF('Big Board (by rank)'!$D:$D,$D149,'Big Board (by rank)'!B:B)=0,"",SUMIF('Big Board (by rank)'!$D:$D,$D149,'Big Board (by rank)'!B:B))</f>
        <v/>
      </c>
      <c r="C149" s="24" t="str">
        <f>IF(SUMIF('Big Board (by rank)'!$D:$D,$D149,'Big Board (by rank)'!C:C)=0,"",SUMIF('Big Board (by rank)'!$D:$D,$D149,'Big Board (by rank)'!C:C))</f>
        <v/>
      </c>
      <c r="D149" s="25" t="str">
        <f>IFERROR(VLOOKUP(I149,Selections!B:C,2,FALSE),"")</f>
        <v/>
      </c>
      <c r="E149" s="25" t="str">
        <f>IFERROR(VLOOKUP(D149,'Big Board (by rank)'!D:E,2,FALSE),"")</f>
        <v/>
      </c>
      <c r="F149" s="26"/>
      <c r="G149" s="24" t="str">
        <f>IF(SUMIF('Big Board (by rank)'!D:D,D149,'Big Board (by rank)'!G:G)=0,"",SUMIF('Big Board (by rank)'!D:D,D149,'Big Board (by rank)'!G:G))</f>
        <v/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</row>
    <row r="150">
      <c r="A150" s="24" t="str">
        <f>IF(SUMIF('Big Board (by rank)'!$D:$D,$D150,'Big Board (by rank)'!A:A)=0,"",SUMIF('Big Board (by rank)'!$D:$D,$D150,'Big Board (by rank)'!A:A))</f>
        <v/>
      </c>
      <c r="B150" s="24" t="str">
        <f>IF(SUMIF('Big Board (by rank)'!$D:$D,$D150,'Big Board (by rank)'!B:B)=0,"",SUMIF('Big Board (by rank)'!$D:$D,$D150,'Big Board (by rank)'!B:B))</f>
        <v/>
      </c>
      <c r="C150" s="24" t="str">
        <f>IF(SUMIF('Big Board (by rank)'!$D:$D,$D150,'Big Board (by rank)'!C:C)=0,"",SUMIF('Big Board (by rank)'!$D:$D,$D150,'Big Board (by rank)'!C:C))</f>
        <v/>
      </c>
      <c r="D150" s="25" t="str">
        <f>IFERROR(VLOOKUP(I150,Selections!B:C,2,FALSE),"")</f>
        <v/>
      </c>
      <c r="E150" s="25" t="str">
        <f>IFERROR(VLOOKUP(D150,'Big Board (by rank)'!D:E,2,FALSE),"")</f>
        <v/>
      </c>
      <c r="F150" s="26"/>
      <c r="G150" s="24" t="str">
        <f>IF(SUMIF('Big Board (by rank)'!D:D,D150,'Big Board (by rank)'!G:G)=0,"",SUMIF('Big Board (by rank)'!D:D,D150,'Big Board (by rank)'!G:G))</f>
        <v/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</row>
    <row r="151">
      <c r="A151" s="24" t="str">
        <f>IF(SUMIF('Big Board (by rank)'!$D:$D,$D151,'Big Board (by rank)'!A:A)=0,"",SUMIF('Big Board (by rank)'!$D:$D,$D151,'Big Board (by rank)'!A:A))</f>
        <v/>
      </c>
      <c r="B151" s="24" t="str">
        <f>IF(SUMIF('Big Board (by rank)'!$D:$D,$D151,'Big Board (by rank)'!B:B)=0,"",SUMIF('Big Board (by rank)'!$D:$D,$D151,'Big Board (by rank)'!B:B))</f>
        <v/>
      </c>
      <c r="C151" s="24" t="str">
        <f>IF(SUMIF('Big Board (by rank)'!$D:$D,$D151,'Big Board (by rank)'!C:C)=0,"",SUMIF('Big Board (by rank)'!$D:$D,$D151,'Big Board (by rank)'!C:C))</f>
        <v/>
      </c>
      <c r="D151" s="25" t="str">
        <f>IFERROR(VLOOKUP(I151,Selections!B:C,2,FALSE),"")</f>
        <v/>
      </c>
      <c r="E151" s="25" t="str">
        <f>IFERROR(VLOOKUP(D151,'Big Board (by rank)'!D:E,2,FALSE),"")</f>
        <v/>
      </c>
      <c r="F151" s="26"/>
      <c r="G151" s="24" t="str">
        <f>IF(SUMIF('Big Board (by rank)'!D:D,D151,'Big Board (by rank)'!G:G)=0,"",SUMIF('Big Board (by rank)'!D:D,D151,'Big Board (by rank)'!G:G))</f>
        <v/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</row>
    <row r="152">
      <c r="A152" s="24" t="str">
        <f>IF(SUMIF('Big Board (by rank)'!$D:$D,$D152,'Big Board (by rank)'!A:A)=0,"",SUMIF('Big Board (by rank)'!$D:$D,$D152,'Big Board (by rank)'!A:A))</f>
        <v/>
      </c>
      <c r="B152" s="24" t="str">
        <f>IF(SUMIF('Big Board (by rank)'!$D:$D,$D152,'Big Board (by rank)'!B:B)=0,"",SUMIF('Big Board (by rank)'!$D:$D,$D152,'Big Board (by rank)'!B:B))</f>
        <v/>
      </c>
      <c r="C152" s="24" t="str">
        <f>IF(SUMIF('Big Board (by rank)'!$D:$D,$D152,'Big Board (by rank)'!C:C)=0,"",SUMIF('Big Board (by rank)'!$D:$D,$D152,'Big Board (by rank)'!C:C))</f>
        <v/>
      </c>
      <c r="D152" s="25" t="str">
        <f>IFERROR(VLOOKUP(I152,Selections!B:C,2,FALSE),"")</f>
        <v/>
      </c>
      <c r="E152" s="25" t="str">
        <f>IFERROR(VLOOKUP(D152,'Big Board (by rank)'!D:E,2,FALSE),"")</f>
        <v/>
      </c>
      <c r="F152" s="26"/>
      <c r="G152" s="24" t="str">
        <f>IF(SUMIF('Big Board (by rank)'!D:D,D152,'Big Board (by rank)'!G:G)=0,"",SUMIF('Big Board (by rank)'!D:D,D152,'Big Board (by rank)'!G:G))</f>
        <v/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</row>
    <row r="153">
      <c r="A153" s="24" t="str">
        <f>IF(SUMIF('Big Board (by rank)'!$D:$D,$D153,'Big Board (by rank)'!A:A)=0,"",SUMIF('Big Board (by rank)'!$D:$D,$D153,'Big Board (by rank)'!A:A))</f>
        <v/>
      </c>
      <c r="B153" s="24" t="str">
        <f>IF(SUMIF('Big Board (by rank)'!$D:$D,$D153,'Big Board (by rank)'!B:B)=0,"",SUMIF('Big Board (by rank)'!$D:$D,$D153,'Big Board (by rank)'!B:B))</f>
        <v/>
      </c>
      <c r="C153" s="24" t="str">
        <f>IF(SUMIF('Big Board (by rank)'!$D:$D,$D153,'Big Board (by rank)'!C:C)=0,"",SUMIF('Big Board (by rank)'!$D:$D,$D153,'Big Board (by rank)'!C:C))</f>
        <v/>
      </c>
      <c r="D153" s="25" t="str">
        <f>IFERROR(VLOOKUP(I153,Selections!B:C,2,FALSE),"")</f>
        <v/>
      </c>
      <c r="E153" s="25" t="str">
        <f>IFERROR(VLOOKUP(D153,'Big Board (by rank)'!D:E,2,FALSE),"")</f>
        <v/>
      </c>
      <c r="F153" s="26"/>
      <c r="G153" s="24" t="str">
        <f>IF(SUMIF('Big Board (by rank)'!D:D,D153,'Big Board (by rank)'!G:G)=0,"",SUMIF('Big Board (by rank)'!D:D,D153,'Big Board (by rank)'!G:G))</f>
        <v/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</row>
    <row r="154">
      <c r="A154" s="24" t="str">
        <f>IF(SUMIF('Big Board (by rank)'!$D:$D,$D154,'Big Board (by rank)'!A:A)=0,"",SUMIF('Big Board (by rank)'!$D:$D,$D154,'Big Board (by rank)'!A:A))</f>
        <v/>
      </c>
      <c r="B154" s="24" t="str">
        <f>IF(SUMIF('Big Board (by rank)'!$D:$D,$D154,'Big Board (by rank)'!B:B)=0,"",SUMIF('Big Board (by rank)'!$D:$D,$D154,'Big Board (by rank)'!B:B))</f>
        <v/>
      </c>
      <c r="C154" s="24" t="str">
        <f>IF(SUMIF('Big Board (by rank)'!$D:$D,$D154,'Big Board (by rank)'!C:C)=0,"",SUMIF('Big Board (by rank)'!$D:$D,$D154,'Big Board (by rank)'!C:C))</f>
        <v/>
      </c>
      <c r="D154" s="25" t="str">
        <f>IFERROR(VLOOKUP(I154,Selections!B:C,2,FALSE),"")</f>
        <v/>
      </c>
      <c r="E154" s="25" t="str">
        <f>IFERROR(VLOOKUP(D154,'Big Board (by rank)'!D:E,2,FALSE),"")</f>
        <v/>
      </c>
      <c r="F154" s="26"/>
      <c r="G154" s="24" t="str">
        <f>IF(SUMIF('Big Board (by rank)'!D:D,D154,'Big Board (by rank)'!G:G)=0,"",SUMIF('Big Board (by rank)'!D:D,D154,'Big Board (by rank)'!G:G))</f>
        <v/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</row>
    <row r="155">
      <c r="A155" s="24" t="str">
        <f>IF(SUMIF('Big Board (by rank)'!$D:$D,$D155,'Big Board (by rank)'!A:A)=0,"",SUMIF('Big Board (by rank)'!$D:$D,$D155,'Big Board (by rank)'!A:A))</f>
        <v/>
      </c>
      <c r="B155" s="24" t="str">
        <f>IF(SUMIF('Big Board (by rank)'!$D:$D,$D155,'Big Board (by rank)'!B:B)=0,"",SUMIF('Big Board (by rank)'!$D:$D,$D155,'Big Board (by rank)'!B:B))</f>
        <v/>
      </c>
      <c r="C155" s="24" t="str">
        <f>IF(SUMIF('Big Board (by rank)'!$D:$D,$D155,'Big Board (by rank)'!C:C)=0,"",SUMIF('Big Board (by rank)'!$D:$D,$D155,'Big Board (by rank)'!C:C))</f>
        <v/>
      </c>
      <c r="D155" s="25" t="str">
        <f>IFERROR(VLOOKUP(I155,Selections!B:C,2,FALSE),"")</f>
        <v/>
      </c>
      <c r="E155" s="25" t="str">
        <f>IFERROR(VLOOKUP(D155,'Big Board (by rank)'!D:E,2,FALSE),"")</f>
        <v/>
      </c>
      <c r="F155" s="26"/>
      <c r="G155" s="24" t="str">
        <f>IF(SUMIF('Big Board (by rank)'!D:D,D155,'Big Board (by rank)'!G:G)=0,"",SUMIF('Big Board (by rank)'!D:D,D155,'Big Board (by rank)'!G:G))</f>
        <v/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</row>
    <row r="156">
      <c r="A156" s="24" t="str">
        <f>IF(SUMIF('Big Board (by rank)'!$D:$D,$D156,'Big Board (by rank)'!A:A)=0,"",SUMIF('Big Board (by rank)'!$D:$D,$D156,'Big Board (by rank)'!A:A))</f>
        <v/>
      </c>
      <c r="B156" s="24" t="str">
        <f>IF(SUMIF('Big Board (by rank)'!$D:$D,$D156,'Big Board (by rank)'!B:B)=0,"",SUMIF('Big Board (by rank)'!$D:$D,$D156,'Big Board (by rank)'!B:B))</f>
        <v/>
      </c>
      <c r="C156" s="24" t="str">
        <f>IF(SUMIF('Big Board (by rank)'!$D:$D,$D156,'Big Board (by rank)'!C:C)=0,"",SUMIF('Big Board (by rank)'!$D:$D,$D156,'Big Board (by rank)'!C:C))</f>
        <v/>
      </c>
      <c r="D156" s="25" t="str">
        <f>IFERROR(VLOOKUP(I156,Selections!B:C,2,FALSE),"")</f>
        <v/>
      </c>
      <c r="E156" s="25" t="str">
        <f>IFERROR(VLOOKUP(D156,'Big Board (by rank)'!D:E,2,FALSE),"")</f>
        <v/>
      </c>
      <c r="F156" s="26"/>
      <c r="G156" s="24" t="str">
        <f>IF(SUMIF('Big Board (by rank)'!D:D,D156,'Big Board (by rank)'!G:G)=0,"",SUMIF('Big Board (by rank)'!D:D,D156,'Big Board (by rank)'!G:G))</f>
        <v/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</row>
    <row r="157">
      <c r="A157" s="24" t="str">
        <f>IF(SUMIF('Big Board (by rank)'!$D:$D,$D157,'Big Board (by rank)'!A:A)=0,"",SUMIF('Big Board (by rank)'!$D:$D,$D157,'Big Board (by rank)'!A:A))</f>
        <v/>
      </c>
      <c r="B157" s="24" t="str">
        <f>IF(SUMIF('Big Board (by rank)'!$D:$D,$D157,'Big Board (by rank)'!B:B)=0,"",SUMIF('Big Board (by rank)'!$D:$D,$D157,'Big Board (by rank)'!B:B))</f>
        <v/>
      </c>
      <c r="C157" s="24" t="str">
        <f>IF(SUMIF('Big Board (by rank)'!$D:$D,$D157,'Big Board (by rank)'!C:C)=0,"",SUMIF('Big Board (by rank)'!$D:$D,$D157,'Big Board (by rank)'!C:C))</f>
        <v/>
      </c>
      <c r="D157" s="25" t="str">
        <f>IFERROR(VLOOKUP(I157,Selections!B:C,2,FALSE),"")</f>
        <v/>
      </c>
      <c r="E157" s="25" t="str">
        <f>IFERROR(VLOOKUP(D157,'Big Board (by rank)'!D:E,2,FALSE),"")</f>
        <v/>
      </c>
      <c r="F157" s="26"/>
      <c r="G157" s="24" t="str">
        <f>IF(SUMIF('Big Board (by rank)'!D:D,D157,'Big Board (by rank)'!G:G)=0,"",SUMIF('Big Board (by rank)'!D:D,D157,'Big Board (by rank)'!G:G))</f>
        <v/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</row>
    <row r="158">
      <c r="A158" s="24" t="str">
        <f>IF(SUMIF('Big Board (by rank)'!$D:$D,$D158,'Big Board (by rank)'!A:A)=0,"",SUMIF('Big Board (by rank)'!$D:$D,$D158,'Big Board (by rank)'!A:A))</f>
        <v/>
      </c>
      <c r="B158" s="24" t="str">
        <f>IF(SUMIF('Big Board (by rank)'!$D:$D,$D158,'Big Board (by rank)'!B:B)=0,"",SUMIF('Big Board (by rank)'!$D:$D,$D158,'Big Board (by rank)'!B:B))</f>
        <v/>
      </c>
      <c r="C158" s="24" t="str">
        <f>IF(SUMIF('Big Board (by rank)'!$D:$D,$D158,'Big Board (by rank)'!C:C)=0,"",SUMIF('Big Board (by rank)'!$D:$D,$D158,'Big Board (by rank)'!C:C))</f>
        <v/>
      </c>
      <c r="D158" s="25" t="str">
        <f>IFERROR(VLOOKUP(I158,Selections!B:C,2,FALSE),"")</f>
        <v/>
      </c>
      <c r="E158" s="25" t="str">
        <f>IFERROR(VLOOKUP(D158,'Big Board (by rank)'!D:E,2,FALSE),"")</f>
        <v/>
      </c>
      <c r="F158" s="26"/>
      <c r="G158" s="24" t="str">
        <f>IF(SUMIF('Big Board (by rank)'!D:D,D158,'Big Board (by rank)'!G:G)=0,"",SUMIF('Big Board (by rank)'!D:D,D158,'Big Board (by rank)'!G:G))</f>
        <v/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</row>
    <row r="159">
      <c r="A159" s="24" t="str">
        <f>IF(SUMIF('Big Board (by rank)'!$D:$D,$D159,'Big Board (by rank)'!A:A)=0,"",SUMIF('Big Board (by rank)'!$D:$D,$D159,'Big Board (by rank)'!A:A))</f>
        <v/>
      </c>
      <c r="B159" s="24" t="str">
        <f>IF(SUMIF('Big Board (by rank)'!$D:$D,$D159,'Big Board (by rank)'!B:B)=0,"",SUMIF('Big Board (by rank)'!$D:$D,$D159,'Big Board (by rank)'!B:B))</f>
        <v/>
      </c>
      <c r="C159" s="24" t="str">
        <f>IF(SUMIF('Big Board (by rank)'!$D:$D,$D159,'Big Board (by rank)'!C:C)=0,"",SUMIF('Big Board (by rank)'!$D:$D,$D159,'Big Board (by rank)'!C:C))</f>
        <v/>
      </c>
      <c r="D159" s="25" t="str">
        <f>IFERROR(VLOOKUP(I159,Selections!B:C,2,FALSE),"")</f>
        <v/>
      </c>
      <c r="E159" s="25" t="str">
        <f>IFERROR(VLOOKUP(D159,'Big Board (by rank)'!D:E,2,FALSE),"")</f>
        <v/>
      </c>
      <c r="F159" s="26"/>
      <c r="G159" s="24" t="str">
        <f>IF(SUMIF('Big Board (by rank)'!D:D,D159,'Big Board (by rank)'!G:G)=0,"",SUMIF('Big Board (by rank)'!D:D,D159,'Big Board (by rank)'!G:G))</f>
        <v/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</row>
    <row r="160">
      <c r="A160" s="24" t="str">
        <f>IF(SUMIF('Big Board (by rank)'!$D:$D,$D160,'Big Board (by rank)'!A:A)=0,"",SUMIF('Big Board (by rank)'!$D:$D,$D160,'Big Board (by rank)'!A:A))</f>
        <v/>
      </c>
      <c r="B160" s="24" t="str">
        <f>IF(SUMIF('Big Board (by rank)'!$D:$D,$D160,'Big Board (by rank)'!B:B)=0,"",SUMIF('Big Board (by rank)'!$D:$D,$D160,'Big Board (by rank)'!B:B))</f>
        <v/>
      </c>
      <c r="C160" s="24" t="str">
        <f>IF(SUMIF('Big Board (by rank)'!$D:$D,$D160,'Big Board (by rank)'!C:C)=0,"",SUMIF('Big Board (by rank)'!$D:$D,$D160,'Big Board (by rank)'!C:C))</f>
        <v/>
      </c>
      <c r="D160" s="25" t="str">
        <f>IFERROR(VLOOKUP(I160,Selections!B:C,2,FALSE),"")</f>
        <v/>
      </c>
      <c r="E160" s="25" t="str">
        <f>IFERROR(VLOOKUP(D160,'Big Board (by rank)'!D:E,2,FALSE),"")</f>
        <v/>
      </c>
      <c r="F160" s="26"/>
      <c r="G160" s="24" t="str">
        <f>IF(SUMIF('Big Board (by rank)'!D:D,D160,'Big Board (by rank)'!G:G)=0,"",SUMIF('Big Board (by rank)'!D:D,D160,'Big Board (by rank)'!G:G))</f>
        <v/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</row>
    <row r="161">
      <c r="A161" s="24" t="str">
        <f>IF(SUMIF('Big Board (by rank)'!$D:$D,$D161,'Big Board (by rank)'!A:A)=0,"",SUMIF('Big Board (by rank)'!$D:$D,$D161,'Big Board (by rank)'!A:A))</f>
        <v/>
      </c>
      <c r="B161" s="24" t="str">
        <f>IF(SUMIF('Big Board (by rank)'!$D:$D,$D161,'Big Board (by rank)'!B:B)=0,"",SUMIF('Big Board (by rank)'!$D:$D,$D161,'Big Board (by rank)'!B:B))</f>
        <v/>
      </c>
      <c r="C161" s="24" t="str">
        <f>IF(SUMIF('Big Board (by rank)'!$D:$D,$D161,'Big Board (by rank)'!C:C)=0,"",SUMIF('Big Board (by rank)'!$D:$D,$D161,'Big Board (by rank)'!C:C))</f>
        <v/>
      </c>
      <c r="D161" s="25" t="str">
        <f>IFERROR(VLOOKUP(I161,Selections!B:C,2,FALSE),"")</f>
        <v/>
      </c>
      <c r="E161" s="25" t="str">
        <f>IFERROR(VLOOKUP(D161,'Big Board (by rank)'!D:E,2,FALSE),"")</f>
        <v/>
      </c>
      <c r="F161" s="26"/>
      <c r="G161" s="24" t="str">
        <f>IF(SUMIF('Big Board (by rank)'!D:D,D161,'Big Board (by rank)'!G:G)=0,"",SUMIF('Big Board (by rank)'!D:D,D161,'Big Board (by rank)'!G:G))</f>
        <v/>
      </c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</row>
    <row r="162">
      <c r="A162" s="24" t="str">
        <f>IF(SUMIF('Big Board (by rank)'!$D:$D,$D162,'Big Board (by rank)'!A:A)=0,"",SUMIF('Big Board (by rank)'!$D:$D,$D162,'Big Board (by rank)'!A:A))</f>
        <v/>
      </c>
      <c r="B162" s="24" t="str">
        <f>IF(SUMIF('Big Board (by rank)'!$D:$D,$D162,'Big Board (by rank)'!B:B)=0,"",SUMIF('Big Board (by rank)'!$D:$D,$D162,'Big Board (by rank)'!B:B))</f>
        <v/>
      </c>
      <c r="C162" s="24" t="str">
        <f>IF(SUMIF('Big Board (by rank)'!$D:$D,$D162,'Big Board (by rank)'!C:C)=0,"",SUMIF('Big Board (by rank)'!$D:$D,$D162,'Big Board (by rank)'!C:C))</f>
        <v/>
      </c>
      <c r="D162" s="25" t="str">
        <f>IFERROR(VLOOKUP(I162,Selections!B:C,2,FALSE),"")</f>
        <v/>
      </c>
      <c r="E162" s="25" t="str">
        <f>IFERROR(VLOOKUP(D162,'Big Board (by rank)'!D:E,2,FALSE),"")</f>
        <v/>
      </c>
      <c r="F162" s="26"/>
      <c r="G162" s="24" t="str">
        <f>IF(SUMIF('Big Board (by rank)'!D:D,D162,'Big Board (by rank)'!G:G)=0,"",SUMIF('Big Board (by rank)'!D:D,D162,'Big Board (by rank)'!G:G))</f>
        <v/>
      </c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</row>
    <row r="163">
      <c r="A163" s="24" t="str">
        <f>IF(SUMIF('Big Board (by rank)'!$D:$D,$D163,'Big Board (by rank)'!A:A)=0,"",SUMIF('Big Board (by rank)'!$D:$D,$D163,'Big Board (by rank)'!A:A))</f>
        <v/>
      </c>
      <c r="B163" s="24" t="str">
        <f>IF(SUMIF('Big Board (by rank)'!$D:$D,$D163,'Big Board (by rank)'!B:B)=0,"",SUMIF('Big Board (by rank)'!$D:$D,$D163,'Big Board (by rank)'!B:B))</f>
        <v/>
      </c>
      <c r="C163" s="24" t="str">
        <f>IF(SUMIF('Big Board (by rank)'!$D:$D,$D163,'Big Board (by rank)'!C:C)=0,"",SUMIF('Big Board (by rank)'!$D:$D,$D163,'Big Board (by rank)'!C:C))</f>
        <v/>
      </c>
      <c r="D163" s="25" t="str">
        <f>IFERROR(VLOOKUP(I163,Selections!B:C,2,FALSE),"")</f>
        <v/>
      </c>
      <c r="E163" s="25" t="str">
        <f>IFERROR(VLOOKUP(D163,'Big Board (by rank)'!D:E,2,FALSE),"")</f>
        <v/>
      </c>
      <c r="F163" s="26"/>
      <c r="G163" s="24" t="str">
        <f>IF(SUMIF('Big Board (by rank)'!D:D,D163,'Big Board (by rank)'!G:G)=0,"",SUMIF('Big Board (by rank)'!D:D,D163,'Big Board (by rank)'!G:G))</f>
        <v/>
      </c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</row>
    <row r="164">
      <c r="A164" s="24" t="str">
        <f>IF(SUMIF('Big Board (by rank)'!$D:$D,$D164,'Big Board (by rank)'!A:A)=0,"",SUMIF('Big Board (by rank)'!$D:$D,$D164,'Big Board (by rank)'!A:A))</f>
        <v/>
      </c>
      <c r="B164" s="24" t="str">
        <f>IF(SUMIF('Big Board (by rank)'!$D:$D,$D164,'Big Board (by rank)'!B:B)=0,"",SUMIF('Big Board (by rank)'!$D:$D,$D164,'Big Board (by rank)'!B:B))</f>
        <v/>
      </c>
      <c r="C164" s="24" t="str">
        <f>IF(SUMIF('Big Board (by rank)'!$D:$D,$D164,'Big Board (by rank)'!C:C)=0,"",SUMIF('Big Board (by rank)'!$D:$D,$D164,'Big Board (by rank)'!C:C))</f>
        <v/>
      </c>
      <c r="D164" s="25" t="str">
        <f>IFERROR(VLOOKUP(I164,Selections!B:C,2,FALSE),"")</f>
        <v/>
      </c>
      <c r="E164" s="25" t="str">
        <f>IFERROR(VLOOKUP(D164,'Big Board (by rank)'!D:E,2,FALSE),"")</f>
        <v/>
      </c>
      <c r="F164" s="26"/>
      <c r="G164" s="24" t="str">
        <f>IF(SUMIF('Big Board (by rank)'!D:D,D164,'Big Board (by rank)'!G:G)=0,"",SUMIF('Big Board (by rank)'!D:D,D164,'Big Board (by rank)'!G:G))</f>
        <v/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</row>
    <row r="165">
      <c r="A165" s="24" t="str">
        <f>IF(SUMIF('Big Board (by rank)'!$D:$D,$D165,'Big Board (by rank)'!A:A)=0,"",SUMIF('Big Board (by rank)'!$D:$D,$D165,'Big Board (by rank)'!A:A))</f>
        <v/>
      </c>
      <c r="B165" s="24" t="str">
        <f>IF(SUMIF('Big Board (by rank)'!$D:$D,$D165,'Big Board (by rank)'!B:B)=0,"",SUMIF('Big Board (by rank)'!$D:$D,$D165,'Big Board (by rank)'!B:B))</f>
        <v/>
      </c>
      <c r="C165" s="24" t="str">
        <f>IF(SUMIF('Big Board (by rank)'!$D:$D,$D165,'Big Board (by rank)'!C:C)=0,"",SUMIF('Big Board (by rank)'!$D:$D,$D165,'Big Board (by rank)'!C:C))</f>
        <v/>
      </c>
      <c r="D165" s="25" t="str">
        <f>IFERROR(VLOOKUP(I165,Selections!B:C,2,FALSE),"")</f>
        <v/>
      </c>
      <c r="E165" s="25" t="str">
        <f>IFERROR(VLOOKUP(D165,'Big Board (by rank)'!D:E,2,FALSE),"")</f>
        <v/>
      </c>
      <c r="F165" s="26"/>
      <c r="G165" s="24" t="str">
        <f>IF(SUMIF('Big Board (by rank)'!D:D,D165,'Big Board (by rank)'!G:G)=0,"",SUMIF('Big Board (by rank)'!D:D,D165,'Big Board (by rank)'!G:G))</f>
        <v/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</row>
    <row r="166">
      <c r="A166" s="24" t="str">
        <f>IF(SUMIF('Big Board (by rank)'!$D:$D,$D166,'Big Board (by rank)'!A:A)=0,"",SUMIF('Big Board (by rank)'!$D:$D,$D166,'Big Board (by rank)'!A:A))</f>
        <v/>
      </c>
      <c r="B166" s="24" t="str">
        <f>IF(SUMIF('Big Board (by rank)'!$D:$D,$D166,'Big Board (by rank)'!B:B)=0,"",SUMIF('Big Board (by rank)'!$D:$D,$D166,'Big Board (by rank)'!B:B))</f>
        <v/>
      </c>
      <c r="C166" s="24" t="str">
        <f>IF(SUMIF('Big Board (by rank)'!$D:$D,$D166,'Big Board (by rank)'!C:C)=0,"",SUMIF('Big Board (by rank)'!$D:$D,$D166,'Big Board (by rank)'!C:C))</f>
        <v/>
      </c>
      <c r="D166" s="25" t="str">
        <f>IFERROR(VLOOKUP(I166,Selections!B:C,2,FALSE),"")</f>
        <v/>
      </c>
      <c r="E166" s="25" t="str">
        <f>IFERROR(VLOOKUP(D166,'Big Board (by rank)'!D:E,2,FALSE),"")</f>
        <v/>
      </c>
      <c r="F166" s="26"/>
      <c r="G166" s="24" t="str">
        <f>IF(SUMIF('Big Board (by rank)'!D:D,D166,'Big Board (by rank)'!G:G)=0,"",SUMIF('Big Board (by rank)'!D:D,D166,'Big Board (by rank)'!G:G))</f>
        <v/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</row>
    <row r="167">
      <c r="A167" s="24" t="str">
        <f>IF(SUMIF('Big Board (by rank)'!$D:$D,$D167,'Big Board (by rank)'!A:A)=0,"",SUMIF('Big Board (by rank)'!$D:$D,$D167,'Big Board (by rank)'!A:A))</f>
        <v/>
      </c>
      <c r="B167" s="24" t="str">
        <f>IF(SUMIF('Big Board (by rank)'!$D:$D,$D167,'Big Board (by rank)'!B:B)=0,"",SUMIF('Big Board (by rank)'!$D:$D,$D167,'Big Board (by rank)'!B:B))</f>
        <v/>
      </c>
      <c r="C167" s="24" t="str">
        <f>IF(SUMIF('Big Board (by rank)'!$D:$D,$D167,'Big Board (by rank)'!C:C)=0,"",SUMIF('Big Board (by rank)'!$D:$D,$D167,'Big Board (by rank)'!C:C))</f>
        <v/>
      </c>
      <c r="D167" s="25" t="str">
        <f>IFERROR(VLOOKUP(I167,Selections!B:C,2,FALSE),"")</f>
        <v/>
      </c>
      <c r="E167" s="25" t="str">
        <f>IFERROR(VLOOKUP(D167,'Big Board (by rank)'!D:E,2,FALSE),"")</f>
        <v/>
      </c>
      <c r="F167" s="26"/>
      <c r="G167" s="24" t="str">
        <f>IF(SUMIF('Big Board (by rank)'!D:D,D167,'Big Board (by rank)'!G:G)=0,"",SUMIF('Big Board (by rank)'!D:D,D167,'Big Board (by rank)'!G:G))</f>
        <v/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</row>
    <row r="168">
      <c r="A168" s="24" t="str">
        <f>IF(SUMIF('Big Board (by rank)'!$D:$D,$D168,'Big Board (by rank)'!A:A)=0,"",SUMIF('Big Board (by rank)'!$D:$D,$D168,'Big Board (by rank)'!A:A))</f>
        <v/>
      </c>
      <c r="B168" s="24" t="str">
        <f>IF(SUMIF('Big Board (by rank)'!$D:$D,$D168,'Big Board (by rank)'!B:B)=0,"",SUMIF('Big Board (by rank)'!$D:$D,$D168,'Big Board (by rank)'!B:B))</f>
        <v/>
      </c>
      <c r="C168" s="24" t="str">
        <f>IF(SUMIF('Big Board (by rank)'!$D:$D,$D168,'Big Board (by rank)'!C:C)=0,"",SUMIF('Big Board (by rank)'!$D:$D,$D168,'Big Board (by rank)'!C:C))</f>
        <v/>
      </c>
      <c r="D168" s="25" t="str">
        <f>IFERROR(VLOOKUP(I168,Selections!B:C,2,FALSE),"")</f>
        <v/>
      </c>
      <c r="E168" s="25" t="str">
        <f>IFERROR(VLOOKUP(D168,'Big Board (by rank)'!D:E,2,FALSE),"")</f>
        <v/>
      </c>
      <c r="F168" s="26"/>
      <c r="G168" s="24" t="str">
        <f>IF(SUMIF('Big Board (by rank)'!D:D,D168,'Big Board (by rank)'!G:G)=0,"",SUMIF('Big Board (by rank)'!D:D,D168,'Big Board (by rank)'!G:G))</f>
        <v/>
      </c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</row>
    <row r="169">
      <c r="A169" s="24" t="str">
        <f>IF(SUMIF('Big Board (by rank)'!$D:$D,$D169,'Big Board (by rank)'!A:A)=0,"",SUMIF('Big Board (by rank)'!$D:$D,$D169,'Big Board (by rank)'!A:A))</f>
        <v/>
      </c>
      <c r="B169" s="24" t="str">
        <f>IF(SUMIF('Big Board (by rank)'!$D:$D,$D169,'Big Board (by rank)'!B:B)=0,"",SUMIF('Big Board (by rank)'!$D:$D,$D169,'Big Board (by rank)'!B:B))</f>
        <v/>
      </c>
      <c r="C169" s="24" t="str">
        <f>IF(SUMIF('Big Board (by rank)'!$D:$D,$D169,'Big Board (by rank)'!C:C)=0,"",SUMIF('Big Board (by rank)'!$D:$D,$D169,'Big Board (by rank)'!C:C))</f>
        <v/>
      </c>
      <c r="D169" s="25" t="str">
        <f>IFERROR(VLOOKUP(I169,Selections!B:C,2,FALSE),"")</f>
        <v/>
      </c>
      <c r="E169" s="25" t="str">
        <f>IFERROR(VLOOKUP(D169,'Big Board (by rank)'!D:E,2,FALSE),"")</f>
        <v/>
      </c>
      <c r="F169" s="26"/>
      <c r="G169" s="24" t="str">
        <f>IF(SUMIF('Big Board (by rank)'!D:D,D169,'Big Board (by rank)'!G:G)=0,"",SUMIF('Big Board (by rank)'!D:D,D169,'Big Board (by rank)'!G:G))</f>
        <v/>
      </c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</row>
    <row r="170">
      <c r="A170" s="24" t="str">
        <f>IF(SUMIF('Big Board (by rank)'!$D:$D,$D170,'Big Board (by rank)'!A:A)=0,"",SUMIF('Big Board (by rank)'!$D:$D,$D170,'Big Board (by rank)'!A:A))</f>
        <v/>
      </c>
      <c r="B170" s="24" t="str">
        <f>IF(SUMIF('Big Board (by rank)'!$D:$D,$D170,'Big Board (by rank)'!B:B)=0,"",SUMIF('Big Board (by rank)'!$D:$D,$D170,'Big Board (by rank)'!B:B))</f>
        <v/>
      </c>
      <c r="C170" s="24" t="str">
        <f>IF(SUMIF('Big Board (by rank)'!$D:$D,$D170,'Big Board (by rank)'!C:C)=0,"",SUMIF('Big Board (by rank)'!$D:$D,$D170,'Big Board (by rank)'!C:C))</f>
        <v/>
      </c>
      <c r="D170" s="25" t="str">
        <f>IFERROR(VLOOKUP(I170,Selections!B:C,2,FALSE),"")</f>
        <v/>
      </c>
      <c r="E170" s="25" t="str">
        <f>IFERROR(VLOOKUP(D170,'Big Board (by rank)'!D:E,2,FALSE),"")</f>
        <v/>
      </c>
      <c r="F170" s="26"/>
      <c r="G170" s="24" t="str">
        <f>IF(SUMIF('Big Board (by rank)'!D:D,D170,'Big Board (by rank)'!G:G)=0,"",SUMIF('Big Board (by rank)'!D:D,D170,'Big Board (by rank)'!G:G))</f>
        <v/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</row>
    <row r="171">
      <c r="A171" s="24" t="str">
        <f>IF(SUMIF('Big Board (by rank)'!$D:$D,$D171,'Big Board (by rank)'!A:A)=0,"",SUMIF('Big Board (by rank)'!$D:$D,$D171,'Big Board (by rank)'!A:A))</f>
        <v/>
      </c>
      <c r="B171" s="24" t="str">
        <f>IF(SUMIF('Big Board (by rank)'!$D:$D,$D171,'Big Board (by rank)'!B:B)=0,"",SUMIF('Big Board (by rank)'!$D:$D,$D171,'Big Board (by rank)'!B:B))</f>
        <v/>
      </c>
      <c r="C171" s="24" t="str">
        <f>IF(SUMIF('Big Board (by rank)'!$D:$D,$D171,'Big Board (by rank)'!C:C)=0,"",SUMIF('Big Board (by rank)'!$D:$D,$D171,'Big Board (by rank)'!C:C))</f>
        <v/>
      </c>
      <c r="D171" s="25" t="str">
        <f>IFERROR(VLOOKUP(I171,Selections!B:C,2,FALSE),"")</f>
        <v/>
      </c>
      <c r="E171" s="25" t="str">
        <f>IFERROR(VLOOKUP(D171,'Big Board (by rank)'!D:E,2,FALSE),"")</f>
        <v/>
      </c>
      <c r="F171" s="26"/>
      <c r="G171" s="24" t="str">
        <f>IF(SUMIF('Big Board (by rank)'!D:D,D171,'Big Board (by rank)'!G:G)=0,"",SUMIF('Big Board (by rank)'!D:D,D171,'Big Board (by rank)'!G:G))</f>
        <v/>
      </c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</row>
    <row r="172">
      <c r="A172" s="24" t="str">
        <f>IF(SUMIF('Big Board (by rank)'!$D:$D,$D172,'Big Board (by rank)'!A:A)=0,"",SUMIF('Big Board (by rank)'!$D:$D,$D172,'Big Board (by rank)'!A:A))</f>
        <v/>
      </c>
      <c r="B172" s="24" t="str">
        <f>IF(SUMIF('Big Board (by rank)'!$D:$D,$D172,'Big Board (by rank)'!B:B)=0,"",SUMIF('Big Board (by rank)'!$D:$D,$D172,'Big Board (by rank)'!B:B))</f>
        <v/>
      </c>
      <c r="C172" s="24" t="str">
        <f>IF(SUMIF('Big Board (by rank)'!$D:$D,$D172,'Big Board (by rank)'!C:C)=0,"",SUMIF('Big Board (by rank)'!$D:$D,$D172,'Big Board (by rank)'!C:C))</f>
        <v/>
      </c>
      <c r="D172" s="25" t="str">
        <f>IFERROR(VLOOKUP(I172,Selections!B:C,2,FALSE),"")</f>
        <v/>
      </c>
      <c r="E172" s="25" t="str">
        <f>IFERROR(VLOOKUP(D172,'Big Board (by rank)'!D:E,2,FALSE),"")</f>
        <v/>
      </c>
      <c r="F172" s="26"/>
      <c r="G172" s="24" t="str">
        <f>IF(SUMIF('Big Board (by rank)'!D:D,D172,'Big Board (by rank)'!G:G)=0,"",SUMIF('Big Board (by rank)'!D:D,D172,'Big Board (by rank)'!G:G))</f>
        <v/>
      </c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</row>
    <row r="173">
      <c r="A173" s="24" t="str">
        <f>IF(SUMIF('Big Board (by rank)'!$D:$D,$D173,'Big Board (by rank)'!A:A)=0,"",SUMIF('Big Board (by rank)'!$D:$D,$D173,'Big Board (by rank)'!A:A))</f>
        <v/>
      </c>
      <c r="B173" s="24" t="str">
        <f>IF(SUMIF('Big Board (by rank)'!$D:$D,$D173,'Big Board (by rank)'!B:B)=0,"",SUMIF('Big Board (by rank)'!$D:$D,$D173,'Big Board (by rank)'!B:B))</f>
        <v/>
      </c>
      <c r="C173" s="24" t="str">
        <f>IF(SUMIF('Big Board (by rank)'!$D:$D,$D173,'Big Board (by rank)'!C:C)=0,"",SUMIF('Big Board (by rank)'!$D:$D,$D173,'Big Board (by rank)'!C:C))</f>
        <v/>
      </c>
      <c r="D173" s="25" t="str">
        <f>IFERROR(VLOOKUP(I173,Selections!B:C,2,FALSE),"")</f>
        <v/>
      </c>
      <c r="E173" s="25" t="str">
        <f>IFERROR(VLOOKUP(D173,'Big Board (by rank)'!D:E,2,FALSE),"")</f>
        <v/>
      </c>
      <c r="F173" s="26"/>
      <c r="G173" s="24" t="str">
        <f>IF(SUMIF('Big Board (by rank)'!D:D,D173,'Big Board (by rank)'!G:G)=0,"",SUMIF('Big Board (by rank)'!D:D,D173,'Big Board (by rank)'!G:G))</f>
        <v/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</row>
    <row r="174">
      <c r="A174" s="24" t="str">
        <f>IF(SUMIF('Big Board (by rank)'!$D:$D,$D174,'Big Board (by rank)'!A:A)=0,"",SUMIF('Big Board (by rank)'!$D:$D,$D174,'Big Board (by rank)'!A:A))</f>
        <v/>
      </c>
      <c r="B174" s="24" t="str">
        <f>IF(SUMIF('Big Board (by rank)'!$D:$D,$D174,'Big Board (by rank)'!B:B)=0,"",SUMIF('Big Board (by rank)'!$D:$D,$D174,'Big Board (by rank)'!B:B))</f>
        <v/>
      </c>
      <c r="C174" s="24" t="str">
        <f>IF(SUMIF('Big Board (by rank)'!$D:$D,$D174,'Big Board (by rank)'!C:C)=0,"",SUMIF('Big Board (by rank)'!$D:$D,$D174,'Big Board (by rank)'!C:C))</f>
        <v/>
      </c>
      <c r="D174" s="25" t="str">
        <f>IFERROR(VLOOKUP(I174,Selections!B:C,2,FALSE),"")</f>
        <v/>
      </c>
      <c r="E174" s="25" t="str">
        <f>IFERROR(VLOOKUP(D174,'Big Board (by rank)'!D:E,2,FALSE),"")</f>
        <v/>
      </c>
      <c r="F174" s="26"/>
      <c r="G174" s="24" t="str">
        <f>IF(SUMIF('Big Board (by rank)'!D:D,D174,'Big Board (by rank)'!G:G)=0,"",SUMIF('Big Board (by rank)'!D:D,D174,'Big Board (by rank)'!G:G))</f>
        <v/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</row>
    <row r="175">
      <c r="A175" s="24" t="str">
        <f>IF(SUMIF('Big Board (by rank)'!$D:$D,$D175,'Big Board (by rank)'!A:A)=0,"",SUMIF('Big Board (by rank)'!$D:$D,$D175,'Big Board (by rank)'!A:A))</f>
        <v/>
      </c>
      <c r="B175" s="24" t="str">
        <f>IF(SUMIF('Big Board (by rank)'!$D:$D,$D175,'Big Board (by rank)'!B:B)=0,"",SUMIF('Big Board (by rank)'!$D:$D,$D175,'Big Board (by rank)'!B:B))</f>
        <v/>
      </c>
      <c r="C175" s="24" t="str">
        <f>IF(SUMIF('Big Board (by rank)'!$D:$D,$D175,'Big Board (by rank)'!C:C)=0,"",SUMIF('Big Board (by rank)'!$D:$D,$D175,'Big Board (by rank)'!C:C))</f>
        <v/>
      </c>
      <c r="D175" s="25" t="str">
        <f>IFERROR(VLOOKUP(I175,Selections!B:C,2,FALSE),"")</f>
        <v/>
      </c>
      <c r="E175" s="25" t="str">
        <f>IFERROR(VLOOKUP(D175,'Big Board (by rank)'!D:E,2,FALSE),"")</f>
        <v/>
      </c>
      <c r="F175" s="26"/>
      <c r="G175" s="24" t="str">
        <f>IF(SUMIF('Big Board (by rank)'!D:D,D175,'Big Board (by rank)'!G:G)=0,"",SUMIF('Big Board (by rank)'!D:D,D175,'Big Board (by rank)'!G:G))</f>
        <v/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</row>
    <row r="176">
      <c r="A176" s="24" t="str">
        <f>IF(SUMIF('Big Board (by rank)'!$D:$D,$D176,'Big Board (by rank)'!A:A)=0,"",SUMIF('Big Board (by rank)'!$D:$D,$D176,'Big Board (by rank)'!A:A))</f>
        <v/>
      </c>
      <c r="B176" s="24" t="str">
        <f>IF(SUMIF('Big Board (by rank)'!$D:$D,$D176,'Big Board (by rank)'!B:B)=0,"",SUMIF('Big Board (by rank)'!$D:$D,$D176,'Big Board (by rank)'!B:B))</f>
        <v/>
      </c>
      <c r="C176" s="24" t="str">
        <f>IF(SUMIF('Big Board (by rank)'!$D:$D,$D176,'Big Board (by rank)'!C:C)=0,"",SUMIF('Big Board (by rank)'!$D:$D,$D176,'Big Board (by rank)'!C:C))</f>
        <v/>
      </c>
      <c r="D176" s="25" t="str">
        <f>IFERROR(VLOOKUP(I176,Selections!B:C,2,FALSE),"")</f>
        <v/>
      </c>
      <c r="E176" s="25" t="str">
        <f>IFERROR(VLOOKUP(D176,'Big Board (by rank)'!D:E,2,FALSE),"")</f>
        <v/>
      </c>
      <c r="F176" s="26"/>
      <c r="G176" s="24" t="str">
        <f>IF(SUMIF('Big Board (by rank)'!D:D,D176,'Big Board (by rank)'!G:G)=0,"",SUMIF('Big Board (by rank)'!D:D,D176,'Big Board (by rank)'!G:G))</f>
        <v/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</row>
    <row r="177">
      <c r="A177" s="24" t="str">
        <f>IF(SUMIF('Big Board (by rank)'!$D:$D,$D177,'Big Board (by rank)'!A:A)=0,"",SUMIF('Big Board (by rank)'!$D:$D,$D177,'Big Board (by rank)'!A:A))</f>
        <v/>
      </c>
      <c r="B177" s="24" t="str">
        <f>IF(SUMIF('Big Board (by rank)'!$D:$D,$D177,'Big Board (by rank)'!B:B)=0,"",SUMIF('Big Board (by rank)'!$D:$D,$D177,'Big Board (by rank)'!B:B))</f>
        <v/>
      </c>
      <c r="C177" s="24" t="str">
        <f>IF(SUMIF('Big Board (by rank)'!$D:$D,$D177,'Big Board (by rank)'!C:C)=0,"",SUMIF('Big Board (by rank)'!$D:$D,$D177,'Big Board (by rank)'!C:C))</f>
        <v/>
      </c>
      <c r="D177" s="25" t="str">
        <f>IFERROR(VLOOKUP(I177,Selections!B:C,2,FALSE),"")</f>
        <v/>
      </c>
      <c r="E177" s="25" t="str">
        <f>IFERROR(VLOOKUP(D177,'Big Board (by rank)'!D:E,2,FALSE),"")</f>
        <v/>
      </c>
      <c r="F177" s="26"/>
      <c r="G177" s="24" t="str">
        <f>IF(SUMIF('Big Board (by rank)'!D:D,D177,'Big Board (by rank)'!G:G)=0,"",SUMIF('Big Board (by rank)'!D:D,D177,'Big Board (by rank)'!G:G))</f>
        <v/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</row>
    <row r="178">
      <c r="A178" s="24" t="str">
        <f>IF(SUMIF('Big Board (by rank)'!$D:$D,$D178,'Big Board (by rank)'!A:A)=0,"",SUMIF('Big Board (by rank)'!$D:$D,$D178,'Big Board (by rank)'!A:A))</f>
        <v/>
      </c>
      <c r="B178" s="24" t="str">
        <f>IF(SUMIF('Big Board (by rank)'!$D:$D,$D178,'Big Board (by rank)'!B:B)=0,"",SUMIF('Big Board (by rank)'!$D:$D,$D178,'Big Board (by rank)'!B:B))</f>
        <v/>
      </c>
      <c r="C178" s="24" t="str">
        <f>IF(SUMIF('Big Board (by rank)'!$D:$D,$D178,'Big Board (by rank)'!C:C)=0,"",SUMIF('Big Board (by rank)'!$D:$D,$D178,'Big Board (by rank)'!C:C))</f>
        <v/>
      </c>
      <c r="D178" s="25" t="str">
        <f>IFERROR(VLOOKUP(I178,Selections!B:C,2,FALSE),"")</f>
        <v/>
      </c>
      <c r="E178" s="25" t="str">
        <f>IFERROR(VLOOKUP(D178,'Big Board (by rank)'!D:E,2,FALSE),"")</f>
        <v/>
      </c>
      <c r="F178" s="26"/>
      <c r="G178" s="24" t="str">
        <f>IF(SUMIF('Big Board (by rank)'!D:D,D178,'Big Board (by rank)'!G:G)=0,"",SUMIF('Big Board (by rank)'!D:D,D178,'Big Board (by rank)'!G:G))</f>
        <v/>
      </c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</row>
    <row r="179">
      <c r="A179" s="24" t="str">
        <f>IF(SUMIF('Big Board (by rank)'!$D:$D,$D179,'Big Board (by rank)'!A:A)=0,"",SUMIF('Big Board (by rank)'!$D:$D,$D179,'Big Board (by rank)'!A:A))</f>
        <v/>
      </c>
      <c r="B179" s="24" t="str">
        <f>IF(SUMIF('Big Board (by rank)'!$D:$D,$D179,'Big Board (by rank)'!B:B)=0,"",SUMIF('Big Board (by rank)'!$D:$D,$D179,'Big Board (by rank)'!B:B))</f>
        <v/>
      </c>
      <c r="C179" s="24" t="str">
        <f>IF(SUMIF('Big Board (by rank)'!$D:$D,$D179,'Big Board (by rank)'!C:C)=0,"",SUMIF('Big Board (by rank)'!$D:$D,$D179,'Big Board (by rank)'!C:C))</f>
        <v/>
      </c>
      <c r="D179" s="25" t="str">
        <f>IFERROR(VLOOKUP(I179,Selections!B:C,2,FALSE),"")</f>
        <v/>
      </c>
      <c r="E179" s="25" t="str">
        <f>IFERROR(VLOOKUP(D179,'Big Board (by rank)'!D:E,2,FALSE),"")</f>
        <v/>
      </c>
      <c r="F179" s="26"/>
      <c r="G179" s="24" t="str">
        <f>IF(SUMIF('Big Board (by rank)'!D:D,D179,'Big Board (by rank)'!G:G)=0,"",SUMIF('Big Board (by rank)'!D:D,D179,'Big Board (by rank)'!G:G))</f>
        <v/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</row>
    <row r="180">
      <c r="A180" s="24" t="str">
        <f>IF(SUMIF('Big Board (by rank)'!$D:$D,$D180,'Big Board (by rank)'!A:A)=0,"",SUMIF('Big Board (by rank)'!$D:$D,$D180,'Big Board (by rank)'!A:A))</f>
        <v/>
      </c>
      <c r="B180" s="24" t="str">
        <f>IF(SUMIF('Big Board (by rank)'!$D:$D,$D180,'Big Board (by rank)'!B:B)=0,"",SUMIF('Big Board (by rank)'!$D:$D,$D180,'Big Board (by rank)'!B:B))</f>
        <v/>
      </c>
      <c r="C180" s="24" t="str">
        <f>IF(SUMIF('Big Board (by rank)'!$D:$D,$D180,'Big Board (by rank)'!C:C)=0,"",SUMIF('Big Board (by rank)'!$D:$D,$D180,'Big Board (by rank)'!C:C))</f>
        <v/>
      </c>
      <c r="D180" s="25" t="str">
        <f>IFERROR(VLOOKUP(I180,Selections!B:C,2,FALSE),"")</f>
        <v/>
      </c>
      <c r="E180" s="25" t="str">
        <f>IFERROR(VLOOKUP(D180,'Big Board (by rank)'!D:E,2,FALSE),"")</f>
        <v/>
      </c>
      <c r="F180" s="26"/>
      <c r="G180" s="24" t="str">
        <f>IF(SUMIF('Big Board (by rank)'!D:D,D180,'Big Board (by rank)'!G:G)=0,"",SUMIF('Big Board (by rank)'!D:D,D180,'Big Board (by rank)'!G:G))</f>
        <v/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</row>
    <row r="181">
      <c r="A181" s="24" t="str">
        <f>IF(SUMIF('Big Board (by rank)'!$D:$D,$D181,'Big Board (by rank)'!A:A)=0,"",SUMIF('Big Board (by rank)'!$D:$D,$D181,'Big Board (by rank)'!A:A))</f>
        <v/>
      </c>
      <c r="B181" s="24" t="str">
        <f>IF(SUMIF('Big Board (by rank)'!$D:$D,$D181,'Big Board (by rank)'!B:B)=0,"",SUMIF('Big Board (by rank)'!$D:$D,$D181,'Big Board (by rank)'!B:B))</f>
        <v/>
      </c>
      <c r="C181" s="24" t="str">
        <f>IF(SUMIF('Big Board (by rank)'!$D:$D,$D181,'Big Board (by rank)'!C:C)=0,"",SUMIF('Big Board (by rank)'!$D:$D,$D181,'Big Board (by rank)'!C:C))</f>
        <v/>
      </c>
      <c r="D181" s="25" t="str">
        <f>IFERROR(VLOOKUP(I181,Selections!B:C,2,FALSE),"")</f>
        <v/>
      </c>
      <c r="E181" s="25" t="str">
        <f>IFERROR(VLOOKUP(D181,'Big Board (by rank)'!D:E,2,FALSE),"")</f>
        <v/>
      </c>
      <c r="F181" s="26"/>
      <c r="G181" s="24" t="str">
        <f>IF(SUMIF('Big Board (by rank)'!D:D,D181,'Big Board (by rank)'!G:G)=0,"",SUMIF('Big Board (by rank)'!D:D,D181,'Big Board (by rank)'!G:G))</f>
        <v/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</row>
    <row r="182">
      <c r="A182" s="24" t="str">
        <f>IF(SUMIF('Big Board (by rank)'!$D:$D,$D182,'Big Board (by rank)'!A:A)=0,"",SUMIF('Big Board (by rank)'!$D:$D,$D182,'Big Board (by rank)'!A:A))</f>
        <v/>
      </c>
      <c r="B182" s="24" t="str">
        <f>IF(SUMIF('Big Board (by rank)'!$D:$D,$D182,'Big Board (by rank)'!B:B)=0,"",SUMIF('Big Board (by rank)'!$D:$D,$D182,'Big Board (by rank)'!B:B))</f>
        <v/>
      </c>
      <c r="C182" s="24" t="str">
        <f>IF(SUMIF('Big Board (by rank)'!$D:$D,$D182,'Big Board (by rank)'!C:C)=0,"",SUMIF('Big Board (by rank)'!$D:$D,$D182,'Big Board (by rank)'!C:C))</f>
        <v/>
      </c>
      <c r="D182" s="25" t="str">
        <f>IFERROR(VLOOKUP(I182,Selections!B:C,2,FALSE),"")</f>
        <v/>
      </c>
      <c r="E182" s="25" t="str">
        <f>IFERROR(VLOOKUP(D182,'Big Board (by rank)'!D:E,2,FALSE),"")</f>
        <v/>
      </c>
      <c r="F182" s="26"/>
      <c r="G182" s="24" t="str">
        <f>IF(SUMIF('Big Board (by rank)'!D:D,D182,'Big Board (by rank)'!G:G)=0,"",SUMIF('Big Board (by rank)'!D:D,D182,'Big Board (by rank)'!G:G))</f>
        <v/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</row>
    <row r="183">
      <c r="A183" s="24" t="str">
        <f>IF(SUMIF('Big Board (by rank)'!$D:$D,$D183,'Big Board (by rank)'!A:A)=0,"",SUMIF('Big Board (by rank)'!$D:$D,$D183,'Big Board (by rank)'!A:A))</f>
        <v/>
      </c>
      <c r="B183" s="24" t="str">
        <f>IF(SUMIF('Big Board (by rank)'!$D:$D,$D183,'Big Board (by rank)'!B:B)=0,"",SUMIF('Big Board (by rank)'!$D:$D,$D183,'Big Board (by rank)'!B:B))</f>
        <v/>
      </c>
      <c r="C183" s="24" t="str">
        <f>IF(SUMIF('Big Board (by rank)'!$D:$D,$D183,'Big Board (by rank)'!C:C)=0,"",SUMIF('Big Board (by rank)'!$D:$D,$D183,'Big Board (by rank)'!C:C))</f>
        <v/>
      </c>
      <c r="D183" s="25" t="str">
        <f>IFERROR(VLOOKUP(I183,Selections!B:C,2,FALSE),"")</f>
        <v/>
      </c>
      <c r="E183" s="25" t="str">
        <f>IFERROR(VLOOKUP(D183,'Big Board (by rank)'!D:E,2,FALSE),"")</f>
        <v/>
      </c>
      <c r="F183" s="26"/>
      <c r="G183" s="24" t="str">
        <f>IF(SUMIF('Big Board (by rank)'!D:D,D183,'Big Board (by rank)'!G:G)=0,"",SUMIF('Big Board (by rank)'!D:D,D183,'Big Board (by rank)'!G:G))</f>
        <v/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</row>
    <row r="184">
      <c r="A184" s="24" t="str">
        <f>IF(SUMIF('Big Board (by rank)'!$D:$D,$D184,'Big Board (by rank)'!A:A)=0,"",SUMIF('Big Board (by rank)'!$D:$D,$D184,'Big Board (by rank)'!A:A))</f>
        <v/>
      </c>
      <c r="B184" s="24" t="str">
        <f>IF(SUMIF('Big Board (by rank)'!$D:$D,$D184,'Big Board (by rank)'!B:B)=0,"",SUMIF('Big Board (by rank)'!$D:$D,$D184,'Big Board (by rank)'!B:B))</f>
        <v/>
      </c>
      <c r="C184" s="24" t="str">
        <f>IF(SUMIF('Big Board (by rank)'!$D:$D,$D184,'Big Board (by rank)'!C:C)=0,"",SUMIF('Big Board (by rank)'!$D:$D,$D184,'Big Board (by rank)'!C:C))</f>
        <v/>
      </c>
      <c r="D184" s="25" t="str">
        <f>IFERROR(VLOOKUP(I184,Selections!B:C,2,FALSE),"")</f>
        <v/>
      </c>
      <c r="E184" s="25" t="str">
        <f>IFERROR(VLOOKUP(D184,'Big Board (by rank)'!D:E,2,FALSE),"")</f>
        <v/>
      </c>
      <c r="F184" s="26"/>
      <c r="G184" s="24" t="str">
        <f>IF(SUMIF('Big Board (by rank)'!D:D,D184,'Big Board (by rank)'!G:G)=0,"",SUMIF('Big Board (by rank)'!D:D,D184,'Big Board (by rank)'!G:G))</f>
        <v/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</row>
    <row r="185">
      <c r="A185" s="24" t="str">
        <f>IF(SUMIF('Big Board (by rank)'!$D:$D,$D185,'Big Board (by rank)'!A:A)=0,"",SUMIF('Big Board (by rank)'!$D:$D,$D185,'Big Board (by rank)'!A:A))</f>
        <v/>
      </c>
      <c r="B185" s="24" t="str">
        <f>IF(SUMIF('Big Board (by rank)'!$D:$D,$D185,'Big Board (by rank)'!B:B)=0,"",SUMIF('Big Board (by rank)'!$D:$D,$D185,'Big Board (by rank)'!B:B))</f>
        <v/>
      </c>
      <c r="C185" s="24" t="str">
        <f>IF(SUMIF('Big Board (by rank)'!$D:$D,$D185,'Big Board (by rank)'!C:C)=0,"",SUMIF('Big Board (by rank)'!$D:$D,$D185,'Big Board (by rank)'!C:C))</f>
        <v/>
      </c>
      <c r="D185" s="25" t="str">
        <f>IFERROR(VLOOKUP(I185,Selections!B:C,2,FALSE),"")</f>
        <v/>
      </c>
      <c r="E185" s="25" t="str">
        <f>IFERROR(VLOOKUP(D185,'Big Board (by rank)'!D:E,2,FALSE),"")</f>
        <v/>
      </c>
      <c r="F185" s="26"/>
      <c r="G185" s="24" t="str">
        <f>IF(SUMIF('Big Board (by rank)'!D:D,D185,'Big Board (by rank)'!G:G)=0,"",SUMIF('Big Board (by rank)'!D:D,D185,'Big Board (by rank)'!G:G))</f>
        <v/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</row>
    <row r="186">
      <c r="A186" s="24" t="str">
        <f>IF(SUMIF('Big Board (by rank)'!$D:$D,$D186,'Big Board (by rank)'!A:A)=0,"",SUMIF('Big Board (by rank)'!$D:$D,$D186,'Big Board (by rank)'!A:A))</f>
        <v/>
      </c>
      <c r="B186" s="24" t="str">
        <f>IF(SUMIF('Big Board (by rank)'!$D:$D,$D186,'Big Board (by rank)'!B:B)=0,"",SUMIF('Big Board (by rank)'!$D:$D,$D186,'Big Board (by rank)'!B:B))</f>
        <v/>
      </c>
      <c r="C186" s="24" t="str">
        <f>IF(SUMIF('Big Board (by rank)'!$D:$D,$D186,'Big Board (by rank)'!C:C)=0,"",SUMIF('Big Board (by rank)'!$D:$D,$D186,'Big Board (by rank)'!C:C))</f>
        <v/>
      </c>
      <c r="D186" s="25" t="str">
        <f>IFERROR(VLOOKUP(I186,Selections!B:C,2,FALSE),"")</f>
        <v/>
      </c>
      <c r="E186" s="25" t="str">
        <f>IFERROR(VLOOKUP(D186,'Big Board (by rank)'!D:E,2,FALSE),"")</f>
        <v/>
      </c>
      <c r="F186" s="26"/>
      <c r="G186" s="24" t="str">
        <f>IF(SUMIF('Big Board (by rank)'!D:D,D186,'Big Board (by rank)'!G:G)=0,"",SUMIF('Big Board (by rank)'!D:D,D186,'Big Board (by rank)'!G:G))</f>
        <v/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</row>
    <row r="187">
      <c r="A187" s="24" t="str">
        <f>IF(SUMIF('Big Board (by rank)'!$D:$D,$D187,'Big Board (by rank)'!A:A)=0,"",SUMIF('Big Board (by rank)'!$D:$D,$D187,'Big Board (by rank)'!A:A))</f>
        <v/>
      </c>
      <c r="B187" s="24" t="str">
        <f>IF(SUMIF('Big Board (by rank)'!$D:$D,$D187,'Big Board (by rank)'!B:B)=0,"",SUMIF('Big Board (by rank)'!$D:$D,$D187,'Big Board (by rank)'!B:B))</f>
        <v/>
      </c>
      <c r="C187" s="24" t="str">
        <f>IF(SUMIF('Big Board (by rank)'!$D:$D,$D187,'Big Board (by rank)'!C:C)=0,"",SUMIF('Big Board (by rank)'!$D:$D,$D187,'Big Board (by rank)'!C:C))</f>
        <v/>
      </c>
      <c r="D187" s="25" t="str">
        <f>IFERROR(VLOOKUP(I187,Selections!B:C,2,FALSE),"")</f>
        <v/>
      </c>
      <c r="E187" s="25" t="str">
        <f>IFERROR(VLOOKUP(D187,'Big Board (by rank)'!D:E,2,FALSE),"")</f>
        <v/>
      </c>
      <c r="F187" s="26"/>
      <c r="G187" s="24" t="str">
        <f>IF(SUMIF('Big Board (by rank)'!D:D,D187,'Big Board (by rank)'!G:G)=0,"",SUMIF('Big Board (by rank)'!D:D,D187,'Big Board (by rank)'!G:G))</f>
        <v/>
      </c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</row>
    <row r="188">
      <c r="A188" s="24" t="str">
        <f>IF(SUMIF('Big Board (by rank)'!$D:$D,$D188,'Big Board (by rank)'!A:A)=0,"",SUMIF('Big Board (by rank)'!$D:$D,$D188,'Big Board (by rank)'!A:A))</f>
        <v/>
      </c>
      <c r="B188" s="24" t="str">
        <f>IF(SUMIF('Big Board (by rank)'!$D:$D,$D188,'Big Board (by rank)'!B:B)=0,"",SUMIF('Big Board (by rank)'!$D:$D,$D188,'Big Board (by rank)'!B:B))</f>
        <v/>
      </c>
      <c r="C188" s="24" t="str">
        <f>IF(SUMIF('Big Board (by rank)'!$D:$D,$D188,'Big Board (by rank)'!C:C)=0,"",SUMIF('Big Board (by rank)'!$D:$D,$D188,'Big Board (by rank)'!C:C))</f>
        <v/>
      </c>
      <c r="D188" s="25" t="str">
        <f>IFERROR(VLOOKUP(I188,Selections!B:C,2,FALSE),"")</f>
        <v/>
      </c>
      <c r="E188" s="25" t="str">
        <f>IFERROR(VLOOKUP(D188,'Big Board (by rank)'!D:E,2,FALSE),"")</f>
        <v/>
      </c>
      <c r="F188" s="26"/>
      <c r="G188" s="24" t="str">
        <f>IF(SUMIF('Big Board (by rank)'!D:D,D188,'Big Board (by rank)'!G:G)=0,"",SUMIF('Big Board (by rank)'!D:D,D188,'Big Board (by rank)'!G:G))</f>
        <v/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</row>
    <row r="189">
      <c r="A189" s="24" t="str">
        <f>IF(SUMIF('Big Board (by rank)'!$D:$D,$D189,'Big Board (by rank)'!A:A)=0,"",SUMIF('Big Board (by rank)'!$D:$D,$D189,'Big Board (by rank)'!A:A))</f>
        <v/>
      </c>
      <c r="B189" s="24" t="str">
        <f>IF(SUMIF('Big Board (by rank)'!$D:$D,$D189,'Big Board (by rank)'!B:B)=0,"",SUMIF('Big Board (by rank)'!$D:$D,$D189,'Big Board (by rank)'!B:B))</f>
        <v/>
      </c>
      <c r="C189" s="24" t="str">
        <f>IF(SUMIF('Big Board (by rank)'!$D:$D,$D189,'Big Board (by rank)'!C:C)=0,"",SUMIF('Big Board (by rank)'!$D:$D,$D189,'Big Board (by rank)'!C:C))</f>
        <v/>
      </c>
      <c r="D189" s="25" t="str">
        <f>IFERROR(VLOOKUP(I189,Selections!B:C,2,FALSE),"")</f>
        <v/>
      </c>
      <c r="E189" s="25" t="str">
        <f>IFERROR(VLOOKUP(D189,'Big Board (by rank)'!D:E,2,FALSE),"")</f>
        <v/>
      </c>
      <c r="F189" s="26"/>
      <c r="G189" s="24" t="str">
        <f>IF(SUMIF('Big Board (by rank)'!D:D,D189,'Big Board (by rank)'!G:G)=0,"",SUMIF('Big Board (by rank)'!D:D,D189,'Big Board (by rank)'!G:G))</f>
        <v/>
      </c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</row>
    <row r="190">
      <c r="A190" s="24" t="str">
        <f>IF(SUMIF('Big Board (by rank)'!$D:$D,$D190,'Big Board (by rank)'!A:A)=0,"",SUMIF('Big Board (by rank)'!$D:$D,$D190,'Big Board (by rank)'!A:A))</f>
        <v/>
      </c>
      <c r="B190" s="24" t="str">
        <f>IF(SUMIF('Big Board (by rank)'!$D:$D,$D190,'Big Board (by rank)'!B:B)=0,"",SUMIF('Big Board (by rank)'!$D:$D,$D190,'Big Board (by rank)'!B:B))</f>
        <v/>
      </c>
      <c r="C190" s="24" t="str">
        <f>IF(SUMIF('Big Board (by rank)'!$D:$D,$D190,'Big Board (by rank)'!C:C)=0,"",SUMIF('Big Board (by rank)'!$D:$D,$D190,'Big Board (by rank)'!C:C))</f>
        <v/>
      </c>
      <c r="D190" s="25" t="str">
        <f>IFERROR(VLOOKUP(I190,Selections!B:C,2,FALSE),"")</f>
        <v/>
      </c>
      <c r="E190" s="25" t="str">
        <f>IFERROR(VLOOKUP(D190,'Big Board (by rank)'!D:E,2,FALSE),"")</f>
        <v/>
      </c>
      <c r="F190" s="26"/>
      <c r="G190" s="24" t="str">
        <f>IF(SUMIF('Big Board (by rank)'!D:D,D190,'Big Board (by rank)'!G:G)=0,"",SUMIF('Big Board (by rank)'!D:D,D190,'Big Board (by rank)'!G:G))</f>
        <v/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</row>
    <row r="191">
      <c r="A191" s="24" t="str">
        <f>IF(SUMIF('Big Board (by rank)'!$D:$D,$D191,'Big Board (by rank)'!A:A)=0,"",SUMIF('Big Board (by rank)'!$D:$D,$D191,'Big Board (by rank)'!A:A))</f>
        <v/>
      </c>
      <c r="B191" s="24" t="str">
        <f>IF(SUMIF('Big Board (by rank)'!$D:$D,$D191,'Big Board (by rank)'!B:B)=0,"",SUMIF('Big Board (by rank)'!$D:$D,$D191,'Big Board (by rank)'!B:B))</f>
        <v/>
      </c>
      <c r="C191" s="24" t="str">
        <f>IF(SUMIF('Big Board (by rank)'!$D:$D,$D191,'Big Board (by rank)'!C:C)=0,"",SUMIF('Big Board (by rank)'!$D:$D,$D191,'Big Board (by rank)'!C:C))</f>
        <v/>
      </c>
      <c r="D191" s="25" t="str">
        <f>IFERROR(VLOOKUP(I191,Selections!B:C,2,FALSE),"")</f>
        <v/>
      </c>
      <c r="E191" s="25" t="str">
        <f>IFERROR(VLOOKUP(D191,'Big Board (by rank)'!D:E,2,FALSE),"")</f>
        <v/>
      </c>
      <c r="F191" s="26"/>
      <c r="G191" s="24" t="str">
        <f>IF(SUMIF('Big Board (by rank)'!D:D,D191,'Big Board (by rank)'!G:G)=0,"",SUMIF('Big Board (by rank)'!D:D,D191,'Big Board (by rank)'!G:G))</f>
        <v/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</row>
    <row r="192">
      <c r="A192" s="24" t="str">
        <f>IF(SUMIF('Big Board (by rank)'!$D:$D,$D192,'Big Board (by rank)'!A:A)=0,"",SUMIF('Big Board (by rank)'!$D:$D,$D192,'Big Board (by rank)'!A:A))</f>
        <v/>
      </c>
      <c r="B192" s="24" t="str">
        <f>IF(SUMIF('Big Board (by rank)'!$D:$D,$D192,'Big Board (by rank)'!B:B)=0,"",SUMIF('Big Board (by rank)'!$D:$D,$D192,'Big Board (by rank)'!B:B))</f>
        <v/>
      </c>
      <c r="C192" s="24" t="str">
        <f>IF(SUMIF('Big Board (by rank)'!$D:$D,$D192,'Big Board (by rank)'!C:C)=0,"",SUMIF('Big Board (by rank)'!$D:$D,$D192,'Big Board (by rank)'!C:C))</f>
        <v/>
      </c>
      <c r="D192" s="25" t="str">
        <f>IFERROR(VLOOKUP(I192,Selections!B:C,2,FALSE),"")</f>
        <v/>
      </c>
      <c r="E192" s="25" t="str">
        <f>IFERROR(VLOOKUP(D192,'Big Board (by rank)'!D:E,2,FALSE),"")</f>
        <v/>
      </c>
      <c r="F192" s="26"/>
      <c r="G192" s="24" t="str">
        <f>IF(SUMIF('Big Board (by rank)'!D:D,D192,'Big Board (by rank)'!G:G)=0,"",SUMIF('Big Board (by rank)'!D:D,D192,'Big Board (by rank)'!G:G))</f>
        <v/>
      </c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</row>
    <row r="193">
      <c r="A193" s="24" t="str">
        <f>IF(SUMIF('Big Board (by rank)'!$D:$D,$D193,'Big Board (by rank)'!A:A)=0,"",SUMIF('Big Board (by rank)'!$D:$D,$D193,'Big Board (by rank)'!A:A))</f>
        <v/>
      </c>
      <c r="B193" s="24" t="str">
        <f>IF(SUMIF('Big Board (by rank)'!$D:$D,$D193,'Big Board (by rank)'!B:B)=0,"",SUMIF('Big Board (by rank)'!$D:$D,$D193,'Big Board (by rank)'!B:B))</f>
        <v/>
      </c>
      <c r="C193" s="24" t="str">
        <f>IF(SUMIF('Big Board (by rank)'!$D:$D,$D193,'Big Board (by rank)'!C:C)=0,"",SUMIF('Big Board (by rank)'!$D:$D,$D193,'Big Board (by rank)'!C:C))</f>
        <v/>
      </c>
      <c r="D193" s="25" t="str">
        <f>IFERROR(VLOOKUP(I193,Selections!B:C,2,FALSE),"")</f>
        <v/>
      </c>
      <c r="E193" s="25" t="str">
        <f>IFERROR(VLOOKUP(D193,'Big Board (by rank)'!D:E,2,FALSE),"")</f>
        <v/>
      </c>
      <c r="F193" s="26"/>
      <c r="G193" s="24" t="str">
        <f>IF(SUMIF('Big Board (by rank)'!D:D,D193,'Big Board (by rank)'!G:G)=0,"",SUMIF('Big Board (by rank)'!D:D,D193,'Big Board (by rank)'!G:G))</f>
        <v/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</row>
    <row r="194">
      <c r="A194" s="24" t="str">
        <f>IF(SUMIF('Big Board (by rank)'!$D:$D,$D194,'Big Board (by rank)'!A:A)=0,"",SUMIF('Big Board (by rank)'!$D:$D,$D194,'Big Board (by rank)'!A:A))</f>
        <v/>
      </c>
      <c r="B194" s="24" t="str">
        <f>IF(SUMIF('Big Board (by rank)'!$D:$D,$D194,'Big Board (by rank)'!B:B)=0,"",SUMIF('Big Board (by rank)'!$D:$D,$D194,'Big Board (by rank)'!B:B))</f>
        <v/>
      </c>
      <c r="C194" s="24" t="str">
        <f>IF(SUMIF('Big Board (by rank)'!$D:$D,$D194,'Big Board (by rank)'!C:C)=0,"",SUMIF('Big Board (by rank)'!$D:$D,$D194,'Big Board (by rank)'!C:C))</f>
        <v/>
      </c>
      <c r="D194" s="25" t="str">
        <f>IFERROR(VLOOKUP(I194,Selections!B:C,2,FALSE),"")</f>
        <v/>
      </c>
      <c r="E194" s="25" t="str">
        <f>IFERROR(VLOOKUP(D194,'Big Board (by rank)'!D:E,2,FALSE),"")</f>
        <v/>
      </c>
      <c r="F194" s="26"/>
      <c r="G194" s="24" t="str">
        <f>IF(SUMIF('Big Board (by rank)'!D:D,D194,'Big Board (by rank)'!G:G)=0,"",SUMIF('Big Board (by rank)'!D:D,D194,'Big Board (by rank)'!G:G))</f>
        <v/>
      </c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</row>
    <row r="195">
      <c r="A195" s="24" t="str">
        <f>IF(SUMIF('Big Board (by rank)'!$D:$D,$D195,'Big Board (by rank)'!A:A)=0,"",SUMIF('Big Board (by rank)'!$D:$D,$D195,'Big Board (by rank)'!A:A))</f>
        <v/>
      </c>
      <c r="B195" s="24" t="str">
        <f>IF(SUMIF('Big Board (by rank)'!$D:$D,$D195,'Big Board (by rank)'!B:B)=0,"",SUMIF('Big Board (by rank)'!$D:$D,$D195,'Big Board (by rank)'!B:B))</f>
        <v/>
      </c>
      <c r="C195" s="24" t="str">
        <f>IF(SUMIF('Big Board (by rank)'!$D:$D,$D195,'Big Board (by rank)'!C:C)=0,"",SUMIF('Big Board (by rank)'!$D:$D,$D195,'Big Board (by rank)'!C:C))</f>
        <v/>
      </c>
      <c r="D195" s="25" t="str">
        <f>IFERROR(VLOOKUP(I195,Selections!B:C,2,FALSE),"")</f>
        <v/>
      </c>
      <c r="E195" s="25" t="str">
        <f>IFERROR(VLOOKUP(D195,'Big Board (by rank)'!D:E,2,FALSE),"")</f>
        <v/>
      </c>
      <c r="F195" s="26"/>
      <c r="G195" s="24" t="str">
        <f>IF(SUMIF('Big Board (by rank)'!D:D,D195,'Big Board (by rank)'!G:G)=0,"",SUMIF('Big Board (by rank)'!D:D,D195,'Big Board (by rank)'!G:G))</f>
        <v/>
      </c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</row>
    <row r="196">
      <c r="A196" s="24" t="str">
        <f>IF(SUMIF('Big Board (by rank)'!$D:$D,$D196,'Big Board (by rank)'!A:A)=0,"",SUMIF('Big Board (by rank)'!$D:$D,$D196,'Big Board (by rank)'!A:A))</f>
        <v/>
      </c>
      <c r="B196" s="24" t="str">
        <f>IF(SUMIF('Big Board (by rank)'!$D:$D,$D196,'Big Board (by rank)'!B:B)=0,"",SUMIF('Big Board (by rank)'!$D:$D,$D196,'Big Board (by rank)'!B:B))</f>
        <v/>
      </c>
      <c r="C196" s="24" t="str">
        <f>IF(SUMIF('Big Board (by rank)'!$D:$D,$D196,'Big Board (by rank)'!C:C)=0,"",SUMIF('Big Board (by rank)'!$D:$D,$D196,'Big Board (by rank)'!C:C))</f>
        <v/>
      </c>
      <c r="D196" s="25" t="str">
        <f>IFERROR(VLOOKUP(I196,Selections!B:C,2,FALSE),"")</f>
        <v/>
      </c>
      <c r="E196" s="25" t="str">
        <f>IFERROR(VLOOKUP(D196,'Big Board (by rank)'!D:E,2,FALSE),"")</f>
        <v/>
      </c>
      <c r="F196" s="26"/>
      <c r="G196" s="24" t="str">
        <f>IF(SUMIF('Big Board (by rank)'!D:D,D196,'Big Board (by rank)'!G:G)=0,"",SUMIF('Big Board (by rank)'!D:D,D196,'Big Board (by rank)'!G:G))</f>
        <v/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</row>
    <row r="197">
      <c r="A197" s="24" t="str">
        <f>IF(SUMIF('Big Board (by rank)'!$D:$D,$D197,'Big Board (by rank)'!A:A)=0,"",SUMIF('Big Board (by rank)'!$D:$D,$D197,'Big Board (by rank)'!A:A))</f>
        <v/>
      </c>
      <c r="B197" s="24" t="str">
        <f>IF(SUMIF('Big Board (by rank)'!$D:$D,$D197,'Big Board (by rank)'!B:B)=0,"",SUMIF('Big Board (by rank)'!$D:$D,$D197,'Big Board (by rank)'!B:B))</f>
        <v/>
      </c>
      <c r="C197" s="24" t="str">
        <f>IF(SUMIF('Big Board (by rank)'!$D:$D,$D197,'Big Board (by rank)'!C:C)=0,"",SUMIF('Big Board (by rank)'!$D:$D,$D197,'Big Board (by rank)'!C:C))</f>
        <v/>
      </c>
      <c r="D197" s="25" t="str">
        <f>IFERROR(VLOOKUP(I197,Selections!B:C,2,FALSE),"")</f>
        <v/>
      </c>
      <c r="E197" s="25" t="str">
        <f>IFERROR(VLOOKUP(D197,'Big Board (by rank)'!D:E,2,FALSE),"")</f>
        <v/>
      </c>
      <c r="F197" s="26"/>
      <c r="G197" s="24" t="str">
        <f>IF(SUMIF('Big Board (by rank)'!D:D,D197,'Big Board (by rank)'!G:G)=0,"",SUMIF('Big Board (by rank)'!D:D,D197,'Big Board (by rank)'!G:G))</f>
        <v/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</row>
    <row r="198">
      <c r="A198" s="24" t="str">
        <f>IF(SUMIF('Big Board (by rank)'!$D:$D,$D198,'Big Board (by rank)'!A:A)=0,"",SUMIF('Big Board (by rank)'!$D:$D,$D198,'Big Board (by rank)'!A:A))</f>
        <v/>
      </c>
      <c r="B198" s="24" t="str">
        <f>IF(SUMIF('Big Board (by rank)'!$D:$D,$D198,'Big Board (by rank)'!B:B)=0,"",SUMIF('Big Board (by rank)'!$D:$D,$D198,'Big Board (by rank)'!B:B))</f>
        <v/>
      </c>
      <c r="C198" s="24" t="str">
        <f>IF(SUMIF('Big Board (by rank)'!$D:$D,$D198,'Big Board (by rank)'!C:C)=0,"",SUMIF('Big Board (by rank)'!$D:$D,$D198,'Big Board (by rank)'!C:C))</f>
        <v/>
      </c>
      <c r="D198" s="25" t="str">
        <f>IFERROR(VLOOKUP(I198,Selections!B:C,2,FALSE),"")</f>
        <v/>
      </c>
      <c r="E198" s="25" t="str">
        <f>IFERROR(VLOOKUP(D198,'Big Board (by rank)'!D:E,2,FALSE),"")</f>
        <v/>
      </c>
      <c r="F198" s="26"/>
      <c r="G198" s="24" t="str">
        <f>IF(SUMIF('Big Board (by rank)'!D:D,D198,'Big Board (by rank)'!G:G)=0,"",SUMIF('Big Board (by rank)'!D:D,D198,'Big Board (by rank)'!G:G))</f>
        <v/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</row>
    <row r="199">
      <c r="A199" s="24" t="str">
        <f>IF(SUMIF('Big Board (by rank)'!$D:$D,$D199,'Big Board (by rank)'!A:A)=0,"",SUMIF('Big Board (by rank)'!$D:$D,$D199,'Big Board (by rank)'!A:A))</f>
        <v/>
      </c>
      <c r="B199" s="24" t="str">
        <f>IF(SUMIF('Big Board (by rank)'!$D:$D,$D199,'Big Board (by rank)'!B:B)=0,"",SUMIF('Big Board (by rank)'!$D:$D,$D199,'Big Board (by rank)'!B:B))</f>
        <v/>
      </c>
      <c r="C199" s="24" t="str">
        <f>IF(SUMIF('Big Board (by rank)'!$D:$D,$D199,'Big Board (by rank)'!C:C)=0,"",SUMIF('Big Board (by rank)'!$D:$D,$D199,'Big Board (by rank)'!C:C))</f>
        <v/>
      </c>
      <c r="D199" s="25" t="str">
        <f>IFERROR(VLOOKUP(I199,Selections!B:C,2,FALSE),"")</f>
        <v/>
      </c>
      <c r="E199" s="25" t="str">
        <f>IFERROR(VLOOKUP(D199,'Big Board (by rank)'!D:E,2,FALSE),"")</f>
        <v/>
      </c>
      <c r="F199" s="26"/>
      <c r="G199" s="24" t="str">
        <f>IF(SUMIF('Big Board (by rank)'!D:D,D199,'Big Board (by rank)'!G:G)=0,"",SUMIF('Big Board (by rank)'!D:D,D199,'Big Board (by rank)'!G:G))</f>
        <v/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</row>
    <row r="200">
      <c r="A200" s="24" t="str">
        <f>IF(SUMIF('Big Board (by rank)'!$D:$D,$D200,'Big Board (by rank)'!A:A)=0,"",SUMIF('Big Board (by rank)'!$D:$D,$D200,'Big Board (by rank)'!A:A))</f>
        <v/>
      </c>
      <c r="B200" s="24" t="str">
        <f>IF(SUMIF('Big Board (by rank)'!$D:$D,$D200,'Big Board (by rank)'!B:B)=0,"",SUMIF('Big Board (by rank)'!$D:$D,$D200,'Big Board (by rank)'!B:B))</f>
        <v/>
      </c>
      <c r="C200" s="24" t="str">
        <f>IF(SUMIF('Big Board (by rank)'!$D:$D,$D200,'Big Board (by rank)'!C:C)=0,"",SUMIF('Big Board (by rank)'!$D:$D,$D200,'Big Board (by rank)'!C:C))</f>
        <v/>
      </c>
      <c r="D200" s="25" t="str">
        <f>IFERROR(VLOOKUP(I200,Selections!B:C,2,FALSE),"")</f>
        <v/>
      </c>
      <c r="E200" s="25" t="str">
        <f>IFERROR(VLOOKUP(D200,'Big Board (by rank)'!D:E,2,FALSE),"")</f>
        <v/>
      </c>
      <c r="F200" s="26"/>
      <c r="G200" s="24" t="str">
        <f>IF(SUMIF('Big Board (by rank)'!D:D,D200,'Big Board (by rank)'!G:G)=0,"",SUMIF('Big Board (by rank)'!D:D,D200,'Big Board (by rank)'!G:G))</f>
        <v/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</row>
    <row r="201">
      <c r="A201" s="24" t="str">
        <f>IF(SUMIF('Big Board (by rank)'!$D:$D,$D201,'Big Board (by rank)'!A:A)=0,"",SUMIF('Big Board (by rank)'!$D:$D,$D201,'Big Board (by rank)'!A:A))</f>
        <v/>
      </c>
      <c r="B201" s="24" t="str">
        <f>IF(SUMIF('Big Board (by rank)'!$D:$D,$D201,'Big Board (by rank)'!B:B)=0,"",SUMIF('Big Board (by rank)'!$D:$D,$D201,'Big Board (by rank)'!B:B))</f>
        <v/>
      </c>
      <c r="C201" s="24" t="str">
        <f>IF(SUMIF('Big Board (by rank)'!$D:$D,$D201,'Big Board (by rank)'!C:C)=0,"",SUMIF('Big Board (by rank)'!$D:$D,$D201,'Big Board (by rank)'!C:C))</f>
        <v/>
      </c>
      <c r="D201" s="25" t="str">
        <f>IFERROR(VLOOKUP(I201,Selections!B:C,2,FALSE),"")</f>
        <v/>
      </c>
      <c r="E201" s="25" t="str">
        <f>IFERROR(VLOOKUP(D201,'Big Board (by rank)'!D:E,2,FALSE),"")</f>
        <v/>
      </c>
      <c r="F201" s="26"/>
      <c r="G201" s="24" t="str">
        <f>IF(SUMIF('Big Board (by rank)'!D:D,D201,'Big Board (by rank)'!G:G)=0,"",SUMIF('Big Board (by rank)'!D:D,D201,'Big Board (by rank)'!G:G))</f>
        <v/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</row>
    <row r="202">
      <c r="A202" s="24" t="str">
        <f>IF(SUMIF('Big Board (by rank)'!$D:$D,$D202,'Big Board (by rank)'!A:A)=0,"",SUMIF('Big Board (by rank)'!$D:$D,$D202,'Big Board (by rank)'!A:A))</f>
        <v/>
      </c>
      <c r="B202" s="24" t="str">
        <f>IF(SUMIF('Big Board (by rank)'!$D:$D,$D202,'Big Board (by rank)'!B:B)=0,"",SUMIF('Big Board (by rank)'!$D:$D,$D202,'Big Board (by rank)'!B:B))</f>
        <v/>
      </c>
      <c r="C202" s="24" t="str">
        <f>IF(SUMIF('Big Board (by rank)'!$D:$D,$D202,'Big Board (by rank)'!C:C)=0,"",SUMIF('Big Board (by rank)'!$D:$D,$D202,'Big Board (by rank)'!C:C))</f>
        <v/>
      </c>
      <c r="D202" s="25" t="str">
        <f>IFERROR(VLOOKUP(I202,Selections!B:C,2,FALSE),"")</f>
        <v/>
      </c>
      <c r="E202" s="25" t="str">
        <f>IFERROR(VLOOKUP(D202,'Big Board (by rank)'!D:E,2,FALSE),"")</f>
        <v/>
      </c>
      <c r="F202" s="26"/>
      <c r="G202" s="24" t="str">
        <f>IF(SUMIF('Big Board (by rank)'!D:D,D202,'Big Board (by rank)'!G:G)=0,"",SUMIF('Big Board (by rank)'!D:D,D202,'Big Board (by rank)'!G:G))</f>
        <v/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</row>
    <row r="203">
      <c r="A203" s="24" t="str">
        <f>IF(SUMIF('Big Board (by rank)'!$D:$D,$D203,'Big Board (by rank)'!A:A)=0,"",SUMIF('Big Board (by rank)'!$D:$D,$D203,'Big Board (by rank)'!A:A))</f>
        <v/>
      </c>
      <c r="B203" s="24" t="str">
        <f>IF(SUMIF('Big Board (by rank)'!$D:$D,$D203,'Big Board (by rank)'!B:B)=0,"",SUMIF('Big Board (by rank)'!$D:$D,$D203,'Big Board (by rank)'!B:B))</f>
        <v/>
      </c>
      <c r="C203" s="24" t="str">
        <f>IF(SUMIF('Big Board (by rank)'!$D:$D,$D203,'Big Board (by rank)'!C:C)=0,"",SUMIF('Big Board (by rank)'!$D:$D,$D203,'Big Board (by rank)'!C:C))</f>
        <v/>
      </c>
      <c r="D203" s="25" t="str">
        <f>IFERROR(VLOOKUP(I203,Selections!B:C,2,FALSE),"")</f>
        <v/>
      </c>
      <c r="E203" s="25" t="str">
        <f>IFERROR(VLOOKUP(D203,'Big Board (by rank)'!D:E,2,FALSE),"")</f>
        <v/>
      </c>
      <c r="F203" s="26"/>
      <c r="G203" s="24" t="str">
        <f>IF(SUMIF('Big Board (by rank)'!D:D,D203,'Big Board (by rank)'!G:G)=0,"",SUMIF('Big Board (by rank)'!D:D,D203,'Big Board (by rank)'!G:G))</f>
        <v/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</row>
    <row r="204">
      <c r="A204" s="24" t="str">
        <f>IF(SUMIF('Big Board (by rank)'!$D:$D,$D204,'Big Board (by rank)'!A:A)=0,"",SUMIF('Big Board (by rank)'!$D:$D,$D204,'Big Board (by rank)'!A:A))</f>
        <v/>
      </c>
      <c r="B204" s="24" t="str">
        <f>IF(SUMIF('Big Board (by rank)'!$D:$D,$D204,'Big Board (by rank)'!B:B)=0,"",SUMIF('Big Board (by rank)'!$D:$D,$D204,'Big Board (by rank)'!B:B))</f>
        <v/>
      </c>
      <c r="C204" s="24" t="str">
        <f>IF(SUMIF('Big Board (by rank)'!$D:$D,$D204,'Big Board (by rank)'!C:C)=0,"",SUMIF('Big Board (by rank)'!$D:$D,$D204,'Big Board (by rank)'!C:C))</f>
        <v/>
      </c>
      <c r="D204" s="25" t="str">
        <f>IFERROR(VLOOKUP(I204,Selections!B:C,2,FALSE),"")</f>
        <v/>
      </c>
      <c r="E204" s="25" t="str">
        <f>IFERROR(VLOOKUP(D204,'Big Board (by rank)'!D:E,2,FALSE),"")</f>
        <v/>
      </c>
      <c r="F204" s="26"/>
      <c r="G204" s="24" t="str">
        <f>IF(SUMIF('Big Board (by rank)'!D:D,D204,'Big Board (by rank)'!G:G)=0,"",SUMIF('Big Board (by rank)'!D:D,D204,'Big Board (by rank)'!G:G))</f>
        <v/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</row>
    <row r="205">
      <c r="A205" s="24" t="str">
        <f>IF(SUMIF('Big Board (by rank)'!$D:$D,$D205,'Big Board (by rank)'!A:A)=0,"",SUMIF('Big Board (by rank)'!$D:$D,$D205,'Big Board (by rank)'!A:A))</f>
        <v/>
      </c>
      <c r="B205" s="24" t="str">
        <f>IF(SUMIF('Big Board (by rank)'!$D:$D,$D205,'Big Board (by rank)'!B:B)=0,"",SUMIF('Big Board (by rank)'!$D:$D,$D205,'Big Board (by rank)'!B:B))</f>
        <v/>
      </c>
      <c r="C205" s="24" t="str">
        <f>IF(SUMIF('Big Board (by rank)'!$D:$D,$D205,'Big Board (by rank)'!C:C)=0,"",SUMIF('Big Board (by rank)'!$D:$D,$D205,'Big Board (by rank)'!C:C))</f>
        <v/>
      </c>
      <c r="D205" s="25" t="str">
        <f>IFERROR(VLOOKUP(I205,Selections!B:C,2,FALSE),"")</f>
        <v/>
      </c>
      <c r="E205" s="25" t="str">
        <f>IFERROR(VLOOKUP(D205,'Big Board (by rank)'!D:E,2,FALSE),"")</f>
        <v/>
      </c>
      <c r="F205" s="26"/>
      <c r="G205" s="24" t="str">
        <f>IF(SUMIF('Big Board (by rank)'!D:D,D205,'Big Board (by rank)'!G:G)=0,"",SUMIF('Big Board (by rank)'!D:D,D205,'Big Board (by rank)'!G:G))</f>
        <v/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</row>
    <row r="206">
      <c r="A206" s="24" t="str">
        <f>IF(SUMIF('Big Board (by rank)'!$D:$D,$D206,'Big Board (by rank)'!A:A)=0,"",SUMIF('Big Board (by rank)'!$D:$D,$D206,'Big Board (by rank)'!A:A))</f>
        <v/>
      </c>
      <c r="B206" s="24" t="str">
        <f>IF(SUMIF('Big Board (by rank)'!$D:$D,$D206,'Big Board (by rank)'!B:B)=0,"",SUMIF('Big Board (by rank)'!$D:$D,$D206,'Big Board (by rank)'!B:B))</f>
        <v/>
      </c>
      <c r="C206" s="24" t="str">
        <f>IF(SUMIF('Big Board (by rank)'!$D:$D,$D206,'Big Board (by rank)'!C:C)=0,"",SUMIF('Big Board (by rank)'!$D:$D,$D206,'Big Board (by rank)'!C:C))</f>
        <v/>
      </c>
      <c r="D206" s="25" t="str">
        <f>IFERROR(VLOOKUP(I206,Selections!B:C,2,FALSE),"")</f>
        <v/>
      </c>
      <c r="E206" s="25" t="str">
        <f>IFERROR(VLOOKUP(D206,'Big Board (by rank)'!D:E,2,FALSE),"")</f>
        <v/>
      </c>
      <c r="F206" s="26"/>
      <c r="G206" s="24" t="str">
        <f>IF(SUMIF('Big Board (by rank)'!D:D,D206,'Big Board (by rank)'!G:G)=0,"",SUMIF('Big Board (by rank)'!D:D,D206,'Big Board (by rank)'!G:G))</f>
        <v/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</row>
    <row r="207">
      <c r="A207" s="24" t="str">
        <f>IF(SUMIF('Big Board (by rank)'!$D:$D,$D207,'Big Board (by rank)'!A:A)=0,"",SUMIF('Big Board (by rank)'!$D:$D,$D207,'Big Board (by rank)'!A:A))</f>
        <v/>
      </c>
      <c r="B207" s="24" t="str">
        <f>IF(SUMIF('Big Board (by rank)'!$D:$D,$D207,'Big Board (by rank)'!B:B)=0,"",SUMIF('Big Board (by rank)'!$D:$D,$D207,'Big Board (by rank)'!B:B))</f>
        <v/>
      </c>
      <c r="C207" s="24" t="str">
        <f>IF(SUMIF('Big Board (by rank)'!$D:$D,$D207,'Big Board (by rank)'!C:C)=0,"",SUMIF('Big Board (by rank)'!$D:$D,$D207,'Big Board (by rank)'!C:C))</f>
        <v/>
      </c>
      <c r="D207" s="25" t="str">
        <f>IFERROR(VLOOKUP(I207,Selections!B:C,2,FALSE),"")</f>
        <v/>
      </c>
      <c r="E207" s="25" t="str">
        <f>IFERROR(VLOOKUP(D207,'Big Board (by rank)'!D:E,2,FALSE),"")</f>
        <v/>
      </c>
      <c r="F207" s="26"/>
      <c r="G207" s="24" t="str">
        <f>IF(SUMIF('Big Board (by rank)'!D:D,D207,'Big Board (by rank)'!G:G)=0,"",SUMIF('Big Board (by rank)'!D:D,D207,'Big Board (by rank)'!G:G))</f>
        <v/>
      </c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</row>
    <row r="208">
      <c r="A208" s="24" t="str">
        <f>IF(SUMIF('Big Board (by rank)'!$D:$D,$D208,'Big Board (by rank)'!A:A)=0,"",SUMIF('Big Board (by rank)'!$D:$D,$D208,'Big Board (by rank)'!A:A))</f>
        <v/>
      </c>
      <c r="B208" s="24" t="str">
        <f>IF(SUMIF('Big Board (by rank)'!$D:$D,$D208,'Big Board (by rank)'!B:B)=0,"",SUMIF('Big Board (by rank)'!$D:$D,$D208,'Big Board (by rank)'!B:B))</f>
        <v/>
      </c>
      <c r="C208" s="24" t="str">
        <f>IF(SUMIF('Big Board (by rank)'!$D:$D,$D208,'Big Board (by rank)'!C:C)=0,"",SUMIF('Big Board (by rank)'!$D:$D,$D208,'Big Board (by rank)'!C:C))</f>
        <v/>
      </c>
      <c r="D208" s="25" t="str">
        <f>IFERROR(VLOOKUP(I208,Selections!B:C,2,FALSE),"")</f>
        <v/>
      </c>
      <c r="E208" s="25" t="str">
        <f>IFERROR(VLOOKUP(D208,'Big Board (by rank)'!D:E,2,FALSE),"")</f>
        <v/>
      </c>
      <c r="F208" s="26"/>
      <c r="G208" s="24" t="str">
        <f>IF(SUMIF('Big Board (by rank)'!D:D,D208,'Big Board (by rank)'!G:G)=0,"",SUMIF('Big Board (by rank)'!D:D,D208,'Big Board (by rank)'!G:G))</f>
        <v/>
      </c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</row>
    <row r="209">
      <c r="A209" s="24" t="str">
        <f>IF(SUMIF('Big Board (by rank)'!$D:$D,$D209,'Big Board (by rank)'!A:A)=0,"",SUMIF('Big Board (by rank)'!$D:$D,$D209,'Big Board (by rank)'!A:A))</f>
        <v/>
      </c>
      <c r="B209" s="24" t="str">
        <f>IF(SUMIF('Big Board (by rank)'!$D:$D,$D209,'Big Board (by rank)'!B:B)=0,"",SUMIF('Big Board (by rank)'!$D:$D,$D209,'Big Board (by rank)'!B:B))</f>
        <v/>
      </c>
      <c r="C209" s="24" t="str">
        <f>IF(SUMIF('Big Board (by rank)'!$D:$D,$D209,'Big Board (by rank)'!C:C)=0,"",SUMIF('Big Board (by rank)'!$D:$D,$D209,'Big Board (by rank)'!C:C))</f>
        <v/>
      </c>
      <c r="D209" s="25" t="str">
        <f>IFERROR(VLOOKUP(I209,Selections!B:C,2,FALSE),"")</f>
        <v/>
      </c>
      <c r="E209" s="25" t="str">
        <f>IFERROR(VLOOKUP(D209,'Big Board (by rank)'!D:E,2,FALSE),"")</f>
        <v/>
      </c>
      <c r="F209" s="26"/>
      <c r="G209" s="24" t="str">
        <f>IF(SUMIF('Big Board (by rank)'!D:D,D209,'Big Board (by rank)'!G:G)=0,"",SUMIF('Big Board (by rank)'!D:D,D209,'Big Board (by rank)'!G:G))</f>
        <v/>
      </c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</row>
    <row r="210">
      <c r="A210" s="24" t="str">
        <f>IF(SUMIF('Big Board (by rank)'!$D:$D,$D210,'Big Board (by rank)'!A:A)=0,"",SUMIF('Big Board (by rank)'!$D:$D,$D210,'Big Board (by rank)'!A:A))</f>
        <v/>
      </c>
      <c r="B210" s="24" t="str">
        <f>IF(SUMIF('Big Board (by rank)'!$D:$D,$D210,'Big Board (by rank)'!B:B)=0,"",SUMIF('Big Board (by rank)'!$D:$D,$D210,'Big Board (by rank)'!B:B))</f>
        <v/>
      </c>
      <c r="C210" s="24" t="str">
        <f>IF(SUMIF('Big Board (by rank)'!$D:$D,$D210,'Big Board (by rank)'!C:C)=0,"",SUMIF('Big Board (by rank)'!$D:$D,$D210,'Big Board (by rank)'!C:C))</f>
        <v/>
      </c>
      <c r="D210" s="25" t="str">
        <f>IFERROR(VLOOKUP(I210,Selections!B:C,2,FALSE),"")</f>
        <v/>
      </c>
      <c r="E210" s="25" t="str">
        <f>IFERROR(VLOOKUP(D210,'Big Board (by rank)'!D:E,2,FALSE),"")</f>
        <v/>
      </c>
      <c r="F210" s="26"/>
      <c r="G210" s="24" t="str">
        <f>IF(SUMIF('Big Board (by rank)'!D:D,D210,'Big Board (by rank)'!G:G)=0,"",SUMIF('Big Board (by rank)'!D:D,D210,'Big Board (by rank)'!G:G))</f>
        <v/>
      </c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</row>
    <row r="211">
      <c r="A211" s="24" t="str">
        <f>IF(SUMIF('Big Board (by rank)'!$D:$D,$D211,'Big Board (by rank)'!A:A)=0,"",SUMIF('Big Board (by rank)'!$D:$D,$D211,'Big Board (by rank)'!A:A))</f>
        <v/>
      </c>
      <c r="B211" s="24" t="str">
        <f>IF(SUMIF('Big Board (by rank)'!$D:$D,$D211,'Big Board (by rank)'!B:B)=0,"",SUMIF('Big Board (by rank)'!$D:$D,$D211,'Big Board (by rank)'!B:B))</f>
        <v/>
      </c>
      <c r="C211" s="24" t="str">
        <f>IF(SUMIF('Big Board (by rank)'!$D:$D,$D211,'Big Board (by rank)'!C:C)=0,"",SUMIF('Big Board (by rank)'!$D:$D,$D211,'Big Board (by rank)'!C:C))</f>
        <v/>
      </c>
      <c r="D211" s="25" t="str">
        <f>IFERROR(VLOOKUP(I211,Selections!B:C,2,FALSE),"")</f>
        <v/>
      </c>
      <c r="E211" s="25" t="str">
        <f>IFERROR(VLOOKUP(D211,'Big Board (by rank)'!D:E,2,FALSE),"")</f>
        <v/>
      </c>
      <c r="F211" s="26"/>
      <c r="G211" s="24" t="str">
        <f>IF(SUMIF('Big Board (by rank)'!D:D,D211,'Big Board (by rank)'!G:G)=0,"",SUMIF('Big Board (by rank)'!D:D,D211,'Big Board (by rank)'!G:G))</f>
        <v/>
      </c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</row>
    <row r="212">
      <c r="A212" s="24" t="str">
        <f>IF(SUMIF('Big Board (by rank)'!$D:$D,$D212,'Big Board (by rank)'!A:A)=0,"",SUMIF('Big Board (by rank)'!$D:$D,$D212,'Big Board (by rank)'!A:A))</f>
        <v/>
      </c>
      <c r="B212" s="24" t="str">
        <f>IF(SUMIF('Big Board (by rank)'!$D:$D,$D212,'Big Board (by rank)'!B:B)=0,"",SUMIF('Big Board (by rank)'!$D:$D,$D212,'Big Board (by rank)'!B:B))</f>
        <v/>
      </c>
      <c r="C212" s="24" t="str">
        <f>IF(SUMIF('Big Board (by rank)'!$D:$D,$D212,'Big Board (by rank)'!C:C)=0,"",SUMIF('Big Board (by rank)'!$D:$D,$D212,'Big Board (by rank)'!C:C))</f>
        <v/>
      </c>
      <c r="D212" s="25" t="str">
        <f>IFERROR(VLOOKUP(I212,Selections!B:C,2,FALSE),"")</f>
        <v/>
      </c>
      <c r="E212" s="25" t="str">
        <f>IFERROR(VLOOKUP(D212,'Big Board (by rank)'!D:E,2,FALSE),"")</f>
        <v/>
      </c>
      <c r="F212" s="26"/>
      <c r="G212" s="24" t="str">
        <f>IF(SUMIF('Big Board (by rank)'!D:D,D212,'Big Board (by rank)'!G:G)=0,"",SUMIF('Big Board (by rank)'!D:D,D212,'Big Board (by rank)'!G:G))</f>
        <v/>
      </c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</row>
    <row r="213">
      <c r="A213" s="24" t="str">
        <f>IF(SUMIF('Big Board (by rank)'!$D:$D,$D213,'Big Board (by rank)'!A:A)=0,"",SUMIF('Big Board (by rank)'!$D:$D,$D213,'Big Board (by rank)'!A:A))</f>
        <v/>
      </c>
      <c r="B213" s="24" t="str">
        <f>IF(SUMIF('Big Board (by rank)'!$D:$D,$D213,'Big Board (by rank)'!B:B)=0,"",SUMIF('Big Board (by rank)'!$D:$D,$D213,'Big Board (by rank)'!B:B))</f>
        <v/>
      </c>
      <c r="C213" s="24" t="str">
        <f>IF(SUMIF('Big Board (by rank)'!$D:$D,$D213,'Big Board (by rank)'!C:C)=0,"",SUMIF('Big Board (by rank)'!$D:$D,$D213,'Big Board (by rank)'!C:C))</f>
        <v/>
      </c>
      <c r="D213" s="25" t="str">
        <f>IFERROR(VLOOKUP(I213,Selections!B:C,2,FALSE),"")</f>
        <v/>
      </c>
      <c r="E213" s="25" t="str">
        <f>IFERROR(VLOOKUP(D213,'Big Board (by rank)'!D:E,2,FALSE),"")</f>
        <v/>
      </c>
      <c r="F213" s="26"/>
      <c r="G213" s="24" t="str">
        <f>IF(SUMIF('Big Board (by rank)'!D:D,D213,'Big Board (by rank)'!G:G)=0,"",SUMIF('Big Board (by rank)'!D:D,D213,'Big Board (by rank)'!G:G))</f>
        <v/>
      </c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</row>
    <row r="214">
      <c r="A214" s="24" t="str">
        <f>IF(SUMIF('Big Board (by rank)'!$D:$D,$D214,'Big Board (by rank)'!A:A)=0,"",SUMIF('Big Board (by rank)'!$D:$D,$D214,'Big Board (by rank)'!A:A))</f>
        <v/>
      </c>
      <c r="B214" s="24" t="str">
        <f>IF(SUMIF('Big Board (by rank)'!$D:$D,$D214,'Big Board (by rank)'!B:B)=0,"",SUMIF('Big Board (by rank)'!$D:$D,$D214,'Big Board (by rank)'!B:B))</f>
        <v/>
      </c>
      <c r="C214" s="24" t="str">
        <f>IF(SUMIF('Big Board (by rank)'!$D:$D,$D214,'Big Board (by rank)'!C:C)=0,"",SUMIF('Big Board (by rank)'!$D:$D,$D214,'Big Board (by rank)'!C:C))</f>
        <v/>
      </c>
      <c r="D214" s="25" t="str">
        <f>IFERROR(VLOOKUP(I214,Selections!B:C,2,FALSE),"")</f>
        <v/>
      </c>
      <c r="E214" s="25" t="str">
        <f>IFERROR(VLOOKUP(D214,'Big Board (by rank)'!D:E,2,FALSE),"")</f>
        <v/>
      </c>
      <c r="F214" s="26"/>
      <c r="G214" s="24" t="str">
        <f>IF(SUMIF('Big Board (by rank)'!D:D,D214,'Big Board (by rank)'!G:G)=0,"",SUMIF('Big Board (by rank)'!D:D,D214,'Big Board (by rank)'!G:G))</f>
        <v/>
      </c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</row>
    <row r="215">
      <c r="A215" s="24" t="str">
        <f>IF(SUMIF('Big Board (by rank)'!$D:$D,$D215,'Big Board (by rank)'!A:A)=0,"",SUMIF('Big Board (by rank)'!$D:$D,$D215,'Big Board (by rank)'!A:A))</f>
        <v/>
      </c>
      <c r="B215" s="24" t="str">
        <f>IF(SUMIF('Big Board (by rank)'!$D:$D,$D215,'Big Board (by rank)'!B:B)=0,"",SUMIF('Big Board (by rank)'!$D:$D,$D215,'Big Board (by rank)'!B:B))</f>
        <v/>
      </c>
      <c r="C215" s="24" t="str">
        <f>IF(SUMIF('Big Board (by rank)'!$D:$D,$D215,'Big Board (by rank)'!C:C)=0,"",SUMIF('Big Board (by rank)'!$D:$D,$D215,'Big Board (by rank)'!C:C))</f>
        <v/>
      </c>
      <c r="D215" s="25" t="str">
        <f>IFERROR(VLOOKUP(I215,Selections!B:C,2,FALSE),"")</f>
        <v/>
      </c>
      <c r="E215" s="25" t="str">
        <f>IFERROR(VLOOKUP(D215,'Big Board (by rank)'!D:E,2,FALSE),"")</f>
        <v/>
      </c>
      <c r="F215" s="26"/>
      <c r="G215" s="24" t="str">
        <f>IF(SUMIF('Big Board (by rank)'!D:D,D215,'Big Board (by rank)'!G:G)=0,"",SUMIF('Big Board (by rank)'!D:D,D215,'Big Board (by rank)'!G:G))</f>
        <v/>
      </c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</row>
    <row r="216">
      <c r="A216" s="24" t="str">
        <f>IF(SUMIF('Big Board (by rank)'!$D:$D,$D216,'Big Board (by rank)'!A:A)=0,"",SUMIF('Big Board (by rank)'!$D:$D,$D216,'Big Board (by rank)'!A:A))</f>
        <v/>
      </c>
      <c r="B216" s="24" t="str">
        <f>IF(SUMIF('Big Board (by rank)'!$D:$D,$D216,'Big Board (by rank)'!B:B)=0,"",SUMIF('Big Board (by rank)'!$D:$D,$D216,'Big Board (by rank)'!B:B))</f>
        <v/>
      </c>
      <c r="C216" s="24" t="str">
        <f>IF(SUMIF('Big Board (by rank)'!$D:$D,$D216,'Big Board (by rank)'!C:C)=0,"",SUMIF('Big Board (by rank)'!$D:$D,$D216,'Big Board (by rank)'!C:C))</f>
        <v/>
      </c>
      <c r="D216" s="25" t="str">
        <f>IFERROR(VLOOKUP(I216,Selections!B:C,2,FALSE),"")</f>
        <v/>
      </c>
      <c r="E216" s="25" t="str">
        <f>IFERROR(VLOOKUP(D216,'Big Board (by rank)'!D:E,2,FALSE),"")</f>
        <v/>
      </c>
      <c r="F216" s="26"/>
      <c r="G216" s="24" t="str">
        <f>IF(SUMIF('Big Board (by rank)'!D:D,D216,'Big Board (by rank)'!G:G)=0,"",SUMIF('Big Board (by rank)'!D:D,D216,'Big Board (by rank)'!G:G))</f>
        <v/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</row>
    <row r="217">
      <c r="A217" s="24" t="str">
        <f>IF(SUMIF('Big Board (by rank)'!$D:$D,$D217,'Big Board (by rank)'!A:A)=0,"",SUMIF('Big Board (by rank)'!$D:$D,$D217,'Big Board (by rank)'!A:A))</f>
        <v/>
      </c>
      <c r="B217" s="24" t="str">
        <f>IF(SUMIF('Big Board (by rank)'!$D:$D,$D217,'Big Board (by rank)'!B:B)=0,"",SUMIF('Big Board (by rank)'!$D:$D,$D217,'Big Board (by rank)'!B:B))</f>
        <v/>
      </c>
      <c r="C217" s="24" t="str">
        <f>IF(SUMIF('Big Board (by rank)'!$D:$D,$D217,'Big Board (by rank)'!C:C)=0,"",SUMIF('Big Board (by rank)'!$D:$D,$D217,'Big Board (by rank)'!C:C))</f>
        <v/>
      </c>
      <c r="D217" s="25" t="str">
        <f>IFERROR(VLOOKUP(I217,Selections!B:C,2,FALSE),"")</f>
        <v/>
      </c>
      <c r="E217" s="25" t="str">
        <f>IFERROR(VLOOKUP(D217,'Big Board (by rank)'!D:E,2,FALSE),"")</f>
        <v/>
      </c>
      <c r="F217" s="26"/>
      <c r="G217" s="24" t="str">
        <f>IF(SUMIF('Big Board (by rank)'!D:D,D217,'Big Board (by rank)'!G:G)=0,"",SUMIF('Big Board (by rank)'!D:D,D217,'Big Board (by rank)'!G:G))</f>
        <v/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</row>
    <row r="218">
      <c r="A218" s="24" t="str">
        <f>IF(SUMIF('Big Board (by rank)'!$D:$D,$D218,'Big Board (by rank)'!A:A)=0,"",SUMIF('Big Board (by rank)'!$D:$D,$D218,'Big Board (by rank)'!A:A))</f>
        <v/>
      </c>
      <c r="B218" s="24" t="str">
        <f>IF(SUMIF('Big Board (by rank)'!$D:$D,$D218,'Big Board (by rank)'!B:B)=0,"",SUMIF('Big Board (by rank)'!$D:$D,$D218,'Big Board (by rank)'!B:B))</f>
        <v/>
      </c>
      <c r="C218" s="24" t="str">
        <f>IF(SUMIF('Big Board (by rank)'!$D:$D,$D218,'Big Board (by rank)'!C:C)=0,"",SUMIF('Big Board (by rank)'!$D:$D,$D218,'Big Board (by rank)'!C:C))</f>
        <v/>
      </c>
      <c r="D218" s="25" t="str">
        <f>IFERROR(VLOOKUP(I218,Selections!B:C,2,FALSE),"")</f>
        <v/>
      </c>
      <c r="E218" s="25" t="str">
        <f>IFERROR(VLOOKUP(D218,'Big Board (by rank)'!D:E,2,FALSE),"")</f>
        <v/>
      </c>
      <c r="F218" s="26"/>
      <c r="G218" s="24" t="str">
        <f>IF(SUMIF('Big Board (by rank)'!D:D,D218,'Big Board (by rank)'!G:G)=0,"",SUMIF('Big Board (by rank)'!D:D,D218,'Big Board (by rank)'!G:G))</f>
        <v/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</row>
    <row r="219">
      <c r="A219" s="24" t="str">
        <f>IF(SUMIF('Big Board (by rank)'!$D:$D,$D219,'Big Board (by rank)'!A:A)=0,"",SUMIF('Big Board (by rank)'!$D:$D,$D219,'Big Board (by rank)'!A:A))</f>
        <v/>
      </c>
      <c r="B219" s="24" t="str">
        <f>IF(SUMIF('Big Board (by rank)'!$D:$D,$D219,'Big Board (by rank)'!B:B)=0,"",SUMIF('Big Board (by rank)'!$D:$D,$D219,'Big Board (by rank)'!B:B))</f>
        <v/>
      </c>
      <c r="C219" s="24" t="str">
        <f>IF(SUMIF('Big Board (by rank)'!$D:$D,$D219,'Big Board (by rank)'!C:C)=0,"",SUMIF('Big Board (by rank)'!$D:$D,$D219,'Big Board (by rank)'!C:C))</f>
        <v/>
      </c>
      <c r="D219" s="25" t="str">
        <f>IFERROR(VLOOKUP(I219,Selections!B:C,2,FALSE),"")</f>
        <v/>
      </c>
      <c r="E219" s="25" t="str">
        <f>IFERROR(VLOOKUP(D219,'Big Board (by rank)'!D:E,2,FALSE),"")</f>
        <v/>
      </c>
      <c r="F219" s="26"/>
      <c r="G219" s="24" t="str">
        <f>IF(SUMIF('Big Board (by rank)'!D:D,D219,'Big Board (by rank)'!G:G)=0,"",SUMIF('Big Board (by rank)'!D:D,D219,'Big Board (by rank)'!G:G))</f>
        <v/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</row>
    <row r="220">
      <c r="A220" s="24" t="str">
        <f>IF(SUMIF('Big Board (by rank)'!$D:$D,$D220,'Big Board (by rank)'!A:A)=0,"",SUMIF('Big Board (by rank)'!$D:$D,$D220,'Big Board (by rank)'!A:A))</f>
        <v/>
      </c>
      <c r="B220" s="24" t="str">
        <f>IF(SUMIF('Big Board (by rank)'!$D:$D,$D220,'Big Board (by rank)'!B:B)=0,"",SUMIF('Big Board (by rank)'!$D:$D,$D220,'Big Board (by rank)'!B:B))</f>
        <v/>
      </c>
      <c r="C220" s="24" t="str">
        <f>IF(SUMIF('Big Board (by rank)'!$D:$D,$D220,'Big Board (by rank)'!C:C)=0,"",SUMIF('Big Board (by rank)'!$D:$D,$D220,'Big Board (by rank)'!C:C))</f>
        <v/>
      </c>
      <c r="D220" s="25" t="str">
        <f>IFERROR(VLOOKUP(I220,Selections!B:C,2,FALSE),"")</f>
        <v/>
      </c>
      <c r="E220" s="25" t="str">
        <f>IFERROR(VLOOKUP(D220,'Big Board (by rank)'!D:E,2,FALSE),"")</f>
        <v/>
      </c>
      <c r="F220" s="26"/>
      <c r="G220" s="24" t="str">
        <f>IF(SUMIF('Big Board (by rank)'!D:D,D220,'Big Board (by rank)'!G:G)=0,"",SUMIF('Big Board (by rank)'!D:D,D220,'Big Board (by rank)'!G:G))</f>
        <v/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</row>
    <row r="221">
      <c r="A221" s="24" t="str">
        <f>IF(SUMIF('Big Board (by rank)'!$D:$D,$D221,'Big Board (by rank)'!A:A)=0,"",SUMIF('Big Board (by rank)'!$D:$D,$D221,'Big Board (by rank)'!A:A))</f>
        <v/>
      </c>
      <c r="B221" s="24" t="str">
        <f>IF(SUMIF('Big Board (by rank)'!$D:$D,$D221,'Big Board (by rank)'!B:B)=0,"",SUMIF('Big Board (by rank)'!$D:$D,$D221,'Big Board (by rank)'!B:B))</f>
        <v/>
      </c>
      <c r="C221" s="24" t="str">
        <f>IF(SUMIF('Big Board (by rank)'!$D:$D,$D221,'Big Board (by rank)'!C:C)=0,"",SUMIF('Big Board (by rank)'!$D:$D,$D221,'Big Board (by rank)'!C:C))</f>
        <v/>
      </c>
      <c r="D221" s="25" t="str">
        <f>IFERROR(VLOOKUP(I221,Selections!B:C,2,FALSE),"")</f>
        <v/>
      </c>
      <c r="E221" s="25" t="str">
        <f>IFERROR(VLOOKUP(D221,'Big Board (by rank)'!D:E,2,FALSE),"")</f>
        <v/>
      </c>
      <c r="F221" s="26"/>
      <c r="G221" s="24" t="str">
        <f>IF(SUMIF('Big Board (by rank)'!D:D,D221,'Big Board (by rank)'!G:G)=0,"",SUMIF('Big Board (by rank)'!D:D,D221,'Big Board (by rank)'!G:G))</f>
        <v/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</row>
    <row r="222">
      <c r="A222" s="24" t="str">
        <f>IF(SUMIF('Big Board (by rank)'!$D:$D,$D222,'Big Board (by rank)'!A:A)=0,"",SUMIF('Big Board (by rank)'!$D:$D,$D222,'Big Board (by rank)'!A:A))</f>
        <v/>
      </c>
      <c r="B222" s="24" t="str">
        <f>IF(SUMIF('Big Board (by rank)'!$D:$D,$D222,'Big Board (by rank)'!B:B)=0,"",SUMIF('Big Board (by rank)'!$D:$D,$D222,'Big Board (by rank)'!B:B))</f>
        <v/>
      </c>
      <c r="C222" s="24" t="str">
        <f>IF(SUMIF('Big Board (by rank)'!$D:$D,$D222,'Big Board (by rank)'!C:C)=0,"",SUMIF('Big Board (by rank)'!$D:$D,$D222,'Big Board (by rank)'!C:C))</f>
        <v/>
      </c>
      <c r="D222" s="25" t="str">
        <f>IFERROR(VLOOKUP(I222,Selections!B:C,2,FALSE),"")</f>
        <v/>
      </c>
      <c r="E222" s="25" t="str">
        <f>IFERROR(VLOOKUP(D222,'Big Board (by rank)'!D:E,2,FALSE),"")</f>
        <v/>
      </c>
      <c r="F222" s="26"/>
      <c r="G222" s="24" t="str">
        <f>IF(SUMIF('Big Board (by rank)'!D:D,D222,'Big Board (by rank)'!G:G)=0,"",SUMIF('Big Board (by rank)'!D:D,D222,'Big Board (by rank)'!G:G))</f>
        <v/>
      </c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</row>
    <row r="223">
      <c r="A223" s="24" t="str">
        <f>IF(SUMIF('Big Board (by rank)'!$D:$D,$D223,'Big Board (by rank)'!A:A)=0,"",SUMIF('Big Board (by rank)'!$D:$D,$D223,'Big Board (by rank)'!A:A))</f>
        <v/>
      </c>
      <c r="B223" s="24" t="str">
        <f>IF(SUMIF('Big Board (by rank)'!$D:$D,$D223,'Big Board (by rank)'!B:B)=0,"",SUMIF('Big Board (by rank)'!$D:$D,$D223,'Big Board (by rank)'!B:B))</f>
        <v/>
      </c>
      <c r="C223" s="24" t="str">
        <f>IF(SUMIF('Big Board (by rank)'!$D:$D,$D223,'Big Board (by rank)'!C:C)=0,"",SUMIF('Big Board (by rank)'!$D:$D,$D223,'Big Board (by rank)'!C:C))</f>
        <v/>
      </c>
      <c r="D223" s="25" t="str">
        <f>IFERROR(VLOOKUP(I223,Selections!B:C,2,FALSE),"")</f>
        <v/>
      </c>
      <c r="E223" s="25" t="str">
        <f>IFERROR(VLOOKUP(D223,'Big Board (by rank)'!D:E,2,FALSE),"")</f>
        <v/>
      </c>
      <c r="F223" s="26"/>
      <c r="G223" s="24" t="str">
        <f>IF(SUMIF('Big Board (by rank)'!D:D,D223,'Big Board (by rank)'!G:G)=0,"",SUMIF('Big Board (by rank)'!D:D,D223,'Big Board (by rank)'!G:G))</f>
        <v/>
      </c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</row>
    <row r="224">
      <c r="A224" s="24" t="str">
        <f>IF(SUMIF('Big Board (by rank)'!$D:$D,$D224,'Big Board (by rank)'!A:A)=0,"",SUMIF('Big Board (by rank)'!$D:$D,$D224,'Big Board (by rank)'!A:A))</f>
        <v/>
      </c>
      <c r="B224" s="24" t="str">
        <f>IF(SUMIF('Big Board (by rank)'!$D:$D,$D224,'Big Board (by rank)'!B:B)=0,"",SUMIF('Big Board (by rank)'!$D:$D,$D224,'Big Board (by rank)'!B:B))</f>
        <v/>
      </c>
      <c r="C224" s="24" t="str">
        <f>IF(SUMIF('Big Board (by rank)'!$D:$D,$D224,'Big Board (by rank)'!C:C)=0,"",SUMIF('Big Board (by rank)'!$D:$D,$D224,'Big Board (by rank)'!C:C))</f>
        <v/>
      </c>
      <c r="D224" s="25" t="str">
        <f>IFERROR(VLOOKUP(I224,Selections!B:C,2,FALSE),"")</f>
        <v/>
      </c>
      <c r="E224" s="25" t="str">
        <f>IFERROR(VLOOKUP(D224,'Big Board (by rank)'!D:E,2,FALSE),"")</f>
        <v/>
      </c>
      <c r="F224" s="26"/>
      <c r="G224" s="24" t="str">
        <f>IF(SUMIF('Big Board (by rank)'!D:D,D224,'Big Board (by rank)'!G:G)=0,"",SUMIF('Big Board (by rank)'!D:D,D224,'Big Board (by rank)'!G:G))</f>
        <v/>
      </c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</row>
    <row r="225">
      <c r="A225" s="24" t="str">
        <f>IF(SUMIF('Big Board (by rank)'!$D:$D,$D225,'Big Board (by rank)'!A:A)=0,"",SUMIF('Big Board (by rank)'!$D:$D,$D225,'Big Board (by rank)'!A:A))</f>
        <v/>
      </c>
      <c r="B225" s="24" t="str">
        <f>IF(SUMIF('Big Board (by rank)'!$D:$D,$D225,'Big Board (by rank)'!B:B)=0,"",SUMIF('Big Board (by rank)'!$D:$D,$D225,'Big Board (by rank)'!B:B))</f>
        <v/>
      </c>
      <c r="C225" s="24" t="str">
        <f>IF(SUMIF('Big Board (by rank)'!$D:$D,$D225,'Big Board (by rank)'!C:C)=0,"",SUMIF('Big Board (by rank)'!$D:$D,$D225,'Big Board (by rank)'!C:C))</f>
        <v/>
      </c>
      <c r="D225" s="25" t="str">
        <f>IFERROR(VLOOKUP(I225,Selections!B:C,2,FALSE),"")</f>
        <v/>
      </c>
      <c r="E225" s="25" t="str">
        <f>IFERROR(VLOOKUP(D225,'Big Board (by rank)'!D:E,2,FALSE),"")</f>
        <v/>
      </c>
      <c r="F225" s="26"/>
      <c r="G225" s="24" t="str">
        <f>IF(SUMIF('Big Board (by rank)'!D:D,D225,'Big Board (by rank)'!G:G)=0,"",SUMIF('Big Board (by rank)'!D:D,D225,'Big Board (by rank)'!G:G))</f>
        <v/>
      </c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</row>
    <row r="226">
      <c r="A226" s="24" t="str">
        <f>IF(SUMIF('Big Board (by rank)'!$D:$D,$D226,'Big Board (by rank)'!A:A)=0,"",SUMIF('Big Board (by rank)'!$D:$D,$D226,'Big Board (by rank)'!A:A))</f>
        <v/>
      </c>
      <c r="B226" s="24" t="str">
        <f>IF(SUMIF('Big Board (by rank)'!$D:$D,$D226,'Big Board (by rank)'!B:B)=0,"",SUMIF('Big Board (by rank)'!$D:$D,$D226,'Big Board (by rank)'!B:B))</f>
        <v/>
      </c>
      <c r="C226" s="24" t="str">
        <f>IF(SUMIF('Big Board (by rank)'!$D:$D,$D226,'Big Board (by rank)'!C:C)=0,"",SUMIF('Big Board (by rank)'!$D:$D,$D226,'Big Board (by rank)'!C:C))</f>
        <v/>
      </c>
      <c r="D226" s="25" t="str">
        <f>IFERROR(VLOOKUP(I226,Selections!B:C,2,FALSE),"")</f>
        <v/>
      </c>
      <c r="E226" s="25" t="str">
        <f>IFERROR(VLOOKUP(D226,'Big Board (by rank)'!D:E,2,FALSE),"")</f>
        <v/>
      </c>
      <c r="F226" s="26"/>
      <c r="G226" s="24" t="str">
        <f>IF(SUMIF('Big Board (by rank)'!D:D,D226,'Big Board (by rank)'!G:G)=0,"",SUMIF('Big Board (by rank)'!D:D,D226,'Big Board (by rank)'!G:G))</f>
        <v/>
      </c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</row>
    <row r="227">
      <c r="A227" s="24" t="str">
        <f>IF(SUMIF('Big Board (by rank)'!$D:$D,$D227,'Big Board (by rank)'!A:A)=0,"",SUMIF('Big Board (by rank)'!$D:$D,$D227,'Big Board (by rank)'!A:A))</f>
        <v/>
      </c>
      <c r="B227" s="24" t="str">
        <f>IF(SUMIF('Big Board (by rank)'!$D:$D,$D227,'Big Board (by rank)'!B:B)=0,"",SUMIF('Big Board (by rank)'!$D:$D,$D227,'Big Board (by rank)'!B:B))</f>
        <v/>
      </c>
      <c r="C227" s="24" t="str">
        <f>IF(SUMIF('Big Board (by rank)'!$D:$D,$D227,'Big Board (by rank)'!C:C)=0,"",SUMIF('Big Board (by rank)'!$D:$D,$D227,'Big Board (by rank)'!C:C))</f>
        <v/>
      </c>
      <c r="D227" s="25" t="str">
        <f>IFERROR(VLOOKUP(I227,Selections!B:C,2,FALSE),"")</f>
        <v/>
      </c>
      <c r="E227" s="25" t="str">
        <f>IFERROR(VLOOKUP(D227,'Big Board (by rank)'!D:E,2,FALSE),"")</f>
        <v/>
      </c>
      <c r="F227" s="26"/>
      <c r="G227" s="24" t="str">
        <f>IF(SUMIF('Big Board (by rank)'!D:D,D227,'Big Board (by rank)'!G:G)=0,"",SUMIF('Big Board (by rank)'!D:D,D227,'Big Board (by rank)'!G:G))</f>
        <v/>
      </c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</row>
    <row r="228">
      <c r="A228" s="24" t="str">
        <f>IF(SUMIF('Big Board (by rank)'!$D:$D,$D228,'Big Board (by rank)'!A:A)=0,"",SUMIF('Big Board (by rank)'!$D:$D,$D228,'Big Board (by rank)'!A:A))</f>
        <v/>
      </c>
      <c r="B228" s="24" t="str">
        <f>IF(SUMIF('Big Board (by rank)'!$D:$D,$D228,'Big Board (by rank)'!B:B)=0,"",SUMIF('Big Board (by rank)'!$D:$D,$D228,'Big Board (by rank)'!B:B))</f>
        <v/>
      </c>
      <c r="C228" s="24" t="str">
        <f>IF(SUMIF('Big Board (by rank)'!$D:$D,$D228,'Big Board (by rank)'!C:C)=0,"",SUMIF('Big Board (by rank)'!$D:$D,$D228,'Big Board (by rank)'!C:C))</f>
        <v/>
      </c>
      <c r="D228" s="25" t="str">
        <f>IFERROR(VLOOKUP(I228,Selections!B:C,2,FALSE),"")</f>
        <v/>
      </c>
      <c r="E228" s="25" t="str">
        <f>IFERROR(VLOOKUP(D228,'Big Board (by rank)'!D:E,2,FALSE),"")</f>
        <v/>
      </c>
      <c r="F228" s="26"/>
      <c r="G228" s="24" t="str">
        <f>IF(SUMIF('Big Board (by rank)'!D:D,D228,'Big Board (by rank)'!G:G)=0,"",SUMIF('Big Board (by rank)'!D:D,D228,'Big Board (by rank)'!G:G))</f>
        <v/>
      </c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</row>
    <row r="229">
      <c r="A229" s="24" t="str">
        <f>IF(SUMIF('Big Board (by rank)'!$D:$D,$D229,'Big Board (by rank)'!A:A)=0,"",SUMIF('Big Board (by rank)'!$D:$D,$D229,'Big Board (by rank)'!A:A))</f>
        <v/>
      </c>
      <c r="B229" s="24" t="str">
        <f>IF(SUMIF('Big Board (by rank)'!$D:$D,$D229,'Big Board (by rank)'!B:B)=0,"",SUMIF('Big Board (by rank)'!$D:$D,$D229,'Big Board (by rank)'!B:B))</f>
        <v/>
      </c>
      <c r="C229" s="24" t="str">
        <f>IF(SUMIF('Big Board (by rank)'!$D:$D,$D229,'Big Board (by rank)'!C:C)=0,"",SUMIF('Big Board (by rank)'!$D:$D,$D229,'Big Board (by rank)'!C:C))</f>
        <v/>
      </c>
      <c r="D229" s="25" t="str">
        <f>IFERROR(VLOOKUP(I229,Selections!B:C,2,FALSE),"")</f>
        <v/>
      </c>
      <c r="E229" s="25" t="str">
        <f>IFERROR(VLOOKUP(D229,'Big Board (by rank)'!D:E,2,FALSE),"")</f>
        <v/>
      </c>
      <c r="F229" s="26"/>
      <c r="G229" s="24" t="str">
        <f>IF(SUMIF('Big Board (by rank)'!D:D,D229,'Big Board (by rank)'!G:G)=0,"",SUMIF('Big Board (by rank)'!D:D,D229,'Big Board (by rank)'!G:G))</f>
        <v/>
      </c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</row>
    <row r="230">
      <c r="A230" s="24" t="str">
        <f>IF(SUMIF('Big Board (by rank)'!$D:$D,$D230,'Big Board (by rank)'!A:A)=0,"",SUMIF('Big Board (by rank)'!$D:$D,$D230,'Big Board (by rank)'!A:A))</f>
        <v/>
      </c>
      <c r="B230" s="24" t="str">
        <f>IF(SUMIF('Big Board (by rank)'!$D:$D,$D230,'Big Board (by rank)'!B:B)=0,"",SUMIF('Big Board (by rank)'!$D:$D,$D230,'Big Board (by rank)'!B:B))</f>
        <v/>
      </c>
      <c r="C230" s="24" t="str">
        <f>IF(SUMIF('Big Board (by rank)'!$D:$D,$D230,'Big Board (by rank)'!C:C)=0,"",SUMIF('Big Board (by rank)'!$D:$D,$D230,'Big Board (by rank)'!C:C))</f>
        <v/>
      </c>
      <c r="D230" s="25" t="str">
        <f>IFERROR(VLOOKUP(I230,Selections!B:C,2,FALSE),"")</f>
        <v/>
      </c>
      <c r="E230" s="25" t="str">
        <f>IFERROR(VLOOKUP(D230,'Big Board (by rank)'!D:E,2,FALSE),"")</f>
        <v/>
      </c>
      <c r="F230" s="26"/>
      <c r="G230" s="24" t="str">
        <f>IF(SUMIF('Big Board (by rank)'!D:D,D230,'Big Board (by rank)'!G:G)=0,"",SUMIF('Big Board (by rank)'!D:D,D230,'Big Board (by rank)'!G:G))</f>
        <v/>
      </c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</row>
    <row r="231">
      <c r="A231" s="24" t="str">
        <f>IF(SUMIF('Big Board (by rank)'!$D:$D,$D231,'Big Board (by rank)'!A:A)=0,"",SUMIF('Big Board (by rank)'!$D:$D,$D231,'Big Board (by rank)'!A:A))</f>
        <v/>
      </c>
      <c r="B231" s="24" t="str">
        <f>IF(SUMIF('Big Board (by rank)'!$D:$D,$D231,'Big Board (by rank)'!B:B)=0,"",SUMIF('Big Board (by rank)'!$D:$D,$D231,'Big Board (by rank)'!B:B))</f>
        <v/>
      </c>
      <c r="C231" s="24" t="str">
        <f>IF(SUMIF('Big Board (by rank)'!$D:$D,$D231,'Big Board (by rank)'!C:C)=0,"",SUMIF('Big Board (by rank)'!$D:$D,$D231,'Big Board (by rank)'!C:C))</f>
        <v/>
      </c>
      <c r="D231" s="25" t="str">
        <f>IFERROR(VLOOKUP(I231,Selections!B:C,2,FALSE),"")</f>
        <v/>
      </c>
      <c r="E231" s="25" t="str">
        <f>IFERROR(VLOOKUP(D231,'Big Board (by rank)'!D:E,2,FALSE),"")</f>
        <v/>
      </c>
      <c r="F231" s="26"/>
      <c r="G231" s="24" t="str">
        <f>IF(SUMIF('Big Board (by rank)'!D:D,D231,'Big Board (by rank)'!G:G)=0,"",SUMIF('Big Board (by rank)'!D:D,D231,'Big Board (by rank)'!G:G))</f>
        <v/>
      </c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</row>
    <row r="232">
      <c r="A232" s="24" t="str">
        <f>IF(SUMIF('Big Board (by rank)'!$D:$D,$D232,'Big Board (by rank)'!A:A)=0,"",SUMIF('Big Board (by rank)'!$D:$D,$D232,'Big Board (by rank)'!A:A))</f>
        <v/>
      </c>
      <c r="B232" s="24" t="str">
        <f>IF(SUMIF('Big Board (by rank)'!$D:$D,$D232,'Big Board (by rank)'!B:B)=0,"",SUMIF('Big Board (by rank)'!$D:$D,$D232,'Big Board (by rank)'!B:B))</f>
        <v/>
      </c>
      <c r="C232" s="24" t="str">
        <f>IF(SUMIF('Big Board (by rank)'!$D:$D,$D232,'Big Board (by rank)'!C:C)=0,"",SUMIF('Big Board (by rank)'!$D:$D,$D232,'Big Board (by rank)'!C:C))</f>
        <v/>
      </c>
      <c r="D232" s="25" t="str">
        <f>IFERROR(VLOOKUP(I232,Selections!B:C,2,FALSE),"")</f>
        <v/>
      </c>
      <c r="E232" s="25" t="str">
        <f>IFERROR(VLOOKUP(D232,'Big Board (by rank)'!D:E,2,FALSE),"")</f>
        <v/>
      </c>
      <c r="F232" s="26"/>
      <c r="G232" s="24" t="str">
        <f>IF(SUMIF('Big Board (by rank)'!D:D,D232,'Big Board (by rank)'!G:G)=0,"",SUMIF('Big Board (by rank)'!D:D,D232,'Big Board (by rank)'!G:G))</f>
        <v/>
      </c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</row>
    <row r="233">
      <c r="A233" s="24" t="str">
        <f>IF(SUMIF('Big Board (by rank)'!$D:$D,$D233,'Big Board (by rank)'!A:A)=0,"",SUMIF('Big Board (by rank)'!$D:$D,$D233,'Big Board (by rank)'!A:A))</f>
        <v/>
      </c>
      <c r="B233" s="24" t="str">
        <f>IF(SUMIF('Big Board (by rank)'!$D:$D,$D233,'Big Board (by rank)'!B:B)=0,"",SUMIF('Big Board (by rank)'!$D:$D,$D233,'Big Board (by rank)'!B:B))</f>
        <v/>
      </c>
      <c r="C233" s="24" t="str">
        <f>IF(SUMIF('Big Board (by rank)'!$D:$D,$D233,'Big Board (by rank)'!C:C)=0,"",SUMIF('Big Board (by rank)'!$D:$D,$D233,'Big Board (by rank)'!C:C))</f>
        <v/>
      </c>
      <c r="D233" s="25" t="str">
        <f>IFERROR(VLOOKUP(I233,Selections!B:C,2,FALSE),"")</f>
        <v/>
      </c>
      <c r="E233" s="25" t="str">
        <f>IFERROR(VLOOKUP(D233,'Big Board (by rank)'!D:E,2,FALSE),"")</f>
        <v/>
      </c>
      <c r="F233" s="26"/>
      <c r="G233" s="24" t="str">
        <f>IF(SUMIF('Big Board (by rank)'!D:D,D233,'Big Board (by rank)'!G:G)=0,"",SUMIF('Big Board (by rank)'!D:D,D233,'Big Board (by rank)'!G:G))</f>
        <v/>
      </c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</row>
    <row r="234">
      <c r="A234" s="24" t="str">
        <f>IF(SUMIF('Big Board (by rank)'!$D:$D,$D234,'Big Board (by rank)'!A:A)=0,"",SUMIF('Big Board (by rank)'!$D:$D,$D234,'Big Board (by rank)'!A:A))</f>
        <v/>
      </c>
      <c r="B234" s="24" t="str">
        <f>IF(SUMIF('Big Board (by rank)'!$D:$D,$D234,'Big Board (by rank)'!B:B)=0,"",SUMIF('Big Board (by rank)'!$D:$D,$D234,'Big Board (by rank)'!B:B))</f>
        <v/>
      </c>
      <c r="C234" s="24" t="str">
        <f>IF(SUMIF('Big Board (by rank)'!$D:$D,$D234,'Big Board (by rank)'!C:C)=0,"",SUMIF('Big Board (by rank)'!$D:$D,$D234,'Big Board (by rank)'!C:C))</f>
        <v/>
      </c>
      <c r="D234" s="25" t="str">
        <f>IFERROR(VLOOKUP(I234,Selections!B:C,2,FALSE),"")</f>
        <v/>
      </c>
      <c r="E234" s="25" t="str">
        <f>IFERROR(VLOOKUP(D234,'Big Board (by rank)'!D:E,2,FALSE),"")</f>
        <v/>
      </c>
      <c r="F234" s="26"/>
      <c r="G234" s="24" t="str">
        <f>IF(SUMIF('Big Board (by rank)'!D:D,D234,'Big Board (by rank)'!G:G)=0,"",SUMIF('Big Board (by rank)'!D:D,D234,'Big Board (by rank)'!G:G))</f>
        <v/>
      </c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</row>
    <row r="235">
      <c r="A235" s="24" t="str">
        <f>IF(SUMIF('Big Board (by rank)'!$D:$D,$D235,'Big Board (by rank)'!A:A)=0,"",SUMIF('Big Board (by rank)'!$D:$D,$D235,'Big Board (by rank)'!A:A))</f>
        <v/>
      </c>
      <c r="B235" s="24" t="str">
        <f>IF(SUMIF('Big Board (by rank)'!$D:$D,$D235,'Big Board (by rank)'!B:B)=0,"",SUMIF('Big Board (by rank)'!$D:$D,$D235,'Big Board (by rank)'!B:B))</f>
        <v/>
      </c>
      <c r="C235" s="24" t="str">
        <f>IF(SUMIF('Big Board (by rank)'!$D:$D,$D235,'Big Board (by rank)'!C:C)=0,"",SUMIF('Big Board (by rank)'!$D:$D,$D235,'Big Board (by rank)'!C:C))</f>
        <v/>
      </c>
      <c r="D235" s="25" t="str">
        <f>IFERROR(VLOOKUP(I235,Selections!B:C,2,FALSE),"")</f>
        <v/>
      </c>
      <c r="E235" s="25" t="str">
        <f>IFERROR(VLOOKUP(D235,'Big Board (by rank)'!D:E,2,FALSE),"")</f>
        <v/>
      </c>
      <c r="F235" s="26"/>
      <c r="G235" s="24" t="str">
        <f>IF(SUMIF('Big Board (by rank)'!D:D,D235,'Big Board (by rank)'!G:G)=0,"",SUMIF('Big Board (by rank)'!D:D,D235,'Big Board (by rank)'!G:G))</f>
        <v/>
      </c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</row>
    <row r="236">
      <c r="A236" s="24" t="str">
        <f>IF(SUMIF('Big Board (by rank)'!$D:$D,$D236,'Big Board (by rank)'!A:A)=0,"",SUMIF('Big Board (by rank)'!$D:$D,$D236,'Big Board (by rank)'!A:A))</f>
        <v/>
      </c>
      <c r="B236" s="24" t="str">
        <f>IF(SUMIF('Big Board (by rank)'!$D:$D,$D236,'Big Board (by rank)'!B:B)=0,"",SUMIF('Big Board (by rank)'!$D:$D,$D236,'Big Board (by rank)'!B:B))</f>
        <v/>
      </c>
      <c r="C236" s="24" t="str">
        <f>IF(SUMIF('Big Board (by rank)'!$D:$D,$D236,'Big Board (by rank)'!C:C)=0,"",SUMIF('Big Board (by rank)'!$D:$D,$D236,'Big Board (by rank)'!C:C))</f>
        <v/>
      </c>
      <c r="D236" s="25" t="str">
        <f>IFERROR(VLOOKUP(I236,Selections!B:C,2,FALSE),"")</f>
        <v/>
      </c>
      <c r="E236" s="25" t="str">
        <f>IFERROR(VLOOKUP(D236,'Big Board (by rank)'!D:E,2,FALSE),"")</f>
        <v/>
      </c>
      <c r="F236" s="26"/>
      <c r="G236" s="24" t="str">
        <f>IF(SUMIF('Big Board (by rank)'!D:D,D236,'Big Board (by rank)'!G:G)=0,"",SUMIF('Big Board (by rank)'!D:D,D236,'Big Board (by rank)'!G:G))</f>
        <v/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</row>
    <row r="237">
      <c r="A237" s="24" t="str">
        <f>IF(SUMIF('Big Board (by rank)'!$D:$D,$D237,'Big Board (by rank)'!A:A)=0,"",SUMIF('Big Board (by rank)'!$D:$D,$D237,'Big Board (by rank)'!A:A))</f>
        <v/>
      </c>
      <c r="B237" s="24" t="str">
        <f>IF(SUMIF('Big Board (by rank)'!$D:$D,$D237,'Big Board (by rank)'!B:B)=0,"",SUMIF('Big Board (by rank)'!$D:$D,$D237,'Big Board (by rank)'!B:B))</f>
        <v/>
      </c>
      <c r="C237" s="24" t="str">
        <f>IF(SUMIF('Big Board (by rank)'!$D:$D,$D237,'Big Board (by rank)'!C:C)=0,"",SUMIF('Big Board (by rank)'!$D:$D,$D237,'Big Board (by rank)'!C:C))</f>
        <v/>
      </c>
      <c r="D237" s="25" t="str">
        <f>IFERROR(VLOOKUP(I237,Selections!B:C,2,FALSE),"")</f>
        <v/>
      </c>
      <c r="E237" s="25" t="str">
        <f>IFERROR(VLOOKUP(D237,'Big Board (by rank)'!D:E,2,FALSE),"")</f>
        <v/>
      </c>
      <c r="F237" s="26"/>
      <c r="G237" s="24" t="str">
        <f>IF(SUMIF('Big Board (by rank)'!D:D,D237,'Big Board (by rank)'!G:G)=0,"",SUMIF('Big Board (by rank)'!D:D,D237,'Big Board (by rank)'!G:G))</f>
        <v/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</row>
    <row r="238">
      <c r="A238" s="24" t="str">
        <f>IF(SUMIF('Big Board (by rank)'!$D:$D,$D238,'Big Board (by rank)'!A:A)=0,"",SUMIF('Big Board (by rank)'!$D:$D,$D238,'Big Board (by rank)'!A:A))</f>
        <v/>
      </c>
      <c r="B238" s="24" t="str">
        <f>IF(SUMIF('Big Board (by rank)'!$D:$D,$D238,'Big Board (by rank)'!B:B)=0,"",SUMIF('Big Board (by rank)'!$D:$D,$D238,'Big Board (by rank)'!B:B))</f>
        <v/>
      </c>
      <c r="C238" s="24" t="str">
        <f>IF(SUMIF('Big Board (by rank)'!$D:$D,$D238,'Big Board (by rank)'!C:C)=0,"",SUMIF('Big Board (by rank)'!$D:$D,$D238,'Big Board (by rank)'!C:C))</f>
        <v/>
      </c>
      <c r="D238" s="25" t="str">
        <f>IFERROR(VLOOKUP(I238,Selections!B:C,2,FALSE),"")</f>
        <v/>
      </c>
      <c r="E238" s="25" t="str">
        <f>IFERROR(VLOOKUP(D238,'Big Board (by rank)'!D:E,2,FALSE),"")</f>
        <v/>
      </c>
      <c r="F238" s="26"/>
      <c r="G238" s="24" t="str">
        <f>IF(SUMIF('Big Board (by rank)'!D:D,D238,'Big Board (by rank)'!G:G)=0,"",SUMIF('Big Board (by rank)'!D:D,D238,'Big Board (by rank)'!G:G))</f>
        <v/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</row>
    <row r="239">
      <c r="A239" s="24" t="str">
        <f>IF(SUMIF('Big Board (by rank)'!$D:$D,$D239,'Big Board (by rank)'!A:A)=0,"",SUMIF('Big Board (by rank)'!$D:$D,$D239,'Big Board (by rank)'!A:A))</f>
        <v/>
      </c>
      <c r="B239" s="24" t="str">
        <f>IF(SUMIF('Big Board (by rank)'!$D:$D,$D239,'Big Board (by rank)'!B:B)=0,"",SUMIF('Big Board (by rank)'!$D:$D,$D239,'Big Board (by rank)'!B:B))</f>
        <v/>
      </c>
      <c r="C239" s="24" t="str">
        <f>IF(SUMIF('Big Board (by rank)'!$D:$D,$D239,'Big Board (by rank)'!C:C)=0,"",SUMIF('Big Board (by rank)'!$D:$D,$D239,'Big Board (by rank)'!C:C))</f>
        <v/>
      </c>
      <c r="D239" s="25" t="str">
        <f>IFERROR(VLOOKUP(I239,Selections!B:C,2,FALSE),"")</f>
        <v/>
      </c>
      <c r="E239" s="25" t="str">
        <f>IFERROR(VLOOKUP(D239,'Big Board (by rank)'!D:E,2,FALSE),"")</f>
        <v/>
      </c>
      <c r="F239" s="26"/>
      <c r="G239" s="24" t="str">
        <f>IF(SUMIF('Big Board (by rank)'!D:D,D239,'Big Board (by rank)'!G:G)=0,"",SUMIF('Big Board (by rank)'!D:D,D239,'Big Board (by rank)'!G:G))</f>
        <v/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</row>
    <row r="240">
      <c r="A240" s="24" t="str">
        <f>IF(SUMIF('Big Board (by rank)'!$D:$D,$D240,'Big Board (by rank)'!A:A)=0,"",SUMIF('Big Board (by rank)'!$D:$D,$D240,'Big Board (by rank)'!A:A))</f>
        <v/>
      </c>
      <c r="B240" s="24" t="str">
        <f>IF(SUMIF('Big Board (by rank)'!$D:$D,$D240,'Big Board (by rank)'!B:B)=0,"",SUMIF('Big Board (by rank)'!$D:$D,$D240,'Big Board (by rank)'!B:B))</f>
        <v/>
      </c>
      <c r="C240" s="24" t="str">
        <f>IF(SUMIF('Big Board (by rank)'!$D:$D,$D240,'Big Board (by rank)'!C:C)=0,"",SUMIF('Big Board (by rank)'!$D:$D,$D240,'Big Board (by rank)'!C:C))</f>
        <v/>
      </c>
      <c r="D240" s="25" t="str">
        <f>IFERROR(VLOOKUP(I240,Selections!B:C,2,FALSE),"")</f>
        <v/>
      </c>
      <c r="E240" s="25" t="str">
        <f>IFERROR(VLOOKUP(D240,'Big Board (by rank)'!D:E,2,FALSE),"")</f>
        <v/>
      </c>
      <c r="F240" s="26"/>
      <c r="G240" s="24" t="str">
        <f>IF(SUMIF('Big Board (by rank)'!D:D,D240,'Big Board (by rank)'!G:G)=0,"",SUMIF('Big Board (by rank)'!D:D,D240,'Big Board (by rank)'!G:G))</f>
        <v/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</row>
    <row r="241">
      <c r="A241" s="24" t="str">
        <f>IF(SUMIF('Big Board (by rank)'!$D:$D,$D241,'Big Board (by rank)'!A:A)=0,"",SUMIF('Big Board (by rank)'!$D:$D,$D241,'Big Board (by rank)'!A:A))</f>
        <v/>
      </c>
      <c r="B241" s="24" t="str">
        <f>IF(SUMIF('Big Board (by rank)'!$D:$D,$D241,'Big Board (by rank)'!B:B)=0,"",SUMIF('Big Board (by rank)'!$D:$D,$D241,'Big Board (by rank)'!B:B))</f>
        <v/>
      </c>
      <c r="C241" s="24" t="str">
        <f>IF(SUMIF('Big Board (by rank)'!$D:$D,$D241,'Big Board (by rank)'!C:C)=0,"",SUMIF('Big Board (by rank)'!$D:$D,$D241,'Big Board (by rank)'!C:C))</f>
        <v/>
      </c>
      <c r="D241" s="25" t="str">
        <f>IFERROR(VLOOKUP(I241,Selections!B:C,2,FALSE),"")</f>
        <v/>
      </c>
      <c r="E241" s="25" t="str">
        <f>IFERROR(VLOOKUP(D241,'Big Board (by rank)'!D:E,2,FALSE),"")</f>
        <v/>
      </c>
      <c r="F241" s="26"/>
      <c r="G241" s="24" t="str">
        <f>IF(SUMIF('Big Board (by rank)'!D:D,D241,'Big Board (by rank)'!G:G)=0,"",SUMIF('Big Board (by rank)'!D:D,D241,'Big Board (by rank)'!G:G))</f>
        <v/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</row>
    <row r="242">
      <c r="A242" s="24" t="str">
        <f>IF(SUMIF('Big Board (by rank)'!$D:$D,$D242,'Big Board (by rank)'!A:A)=0,"",SUMIF('Big Board (by rank)'!$D:$D,$D242,'Big Board (by rank)'!A:A))</f>
        <v/>
      </c>
      <c r="B242" s="24" t="str">
        <f>IF(SUMIF('Big Board (by rank)'!$D:$D,$D242,'Big Board (by rank)'!B:B)=0,"",SUMIF('Big Board (by rank)'!$D:$D,$D242,'Big Board (by rank)'!B:B))</f>
        <v/>
      </c>
      <c r="C242" s="24" t="str">
        <f>IF(SUMIF('Big Board (by rank)'!$D:$D,$D242,'Big Board (by rank)'!C:C)=0,"",SUMIF('Big Board (by rank)'!$D:$D,$D242,'Big Board (by rank)'!C:C))</f>
        <v/>
      </c>
      <c r="D242" s="25" t="str">
        <f>IFERROR(VLOOKUP(I242,Selections!B:C,2,FALSE),"")</f>
        <v/>
      </c>
      <c r="E242" s="25" t="str">
        <f>IFERROR(VLOOKUP(D242,'Big Board (by rank)'!D:E,2,FALSE),"")</f>
        <v/>
      </c>
      <c r="F242" s="26"/>
      <c r="G242" s="24" t="str">
        <f>IF(SUMIF('Big Board (by rank)'!D:D,D242,'Big Board (by rank)'!G:G)=0,"",SUMIF('Big Board (by rank)'!D:D,D242,'Big Board (by rank)'!G:G))</f>
        <v/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</row>
    <row r="243">
      <c r="A243" s="24" t="str">
        <f>IF(SUMIF('Big Board (by rank)'!$D:$D,$D243,'Big Board (by rank)'!A:A)=0,"",SUMIF('Big Board (by rank)'!$D:$D,$D243,'Big Board (by rank)'!A:A))</f>
        <v/>
      </c>
      <c r="B243" s="24" t="str">
        <f>IF(SUMIF('Big Board (by rank)'!$D:$D,$D243,'Big Board (by rank)'!B:B)=0,"",SUMIF('Big Board (by rank)'!$D:$D,$D243,'Big Board (by rank)'!B:B))</f>
        <v/>
      </c>
      <c r="C243" s="24" t="str">
        <f>IF(SUMIF('Big Board (by rank)'!$D:$D,$D243,'Big Board (by rank)'!C:C)=0,"",SUMIF('Big Board (by rank)'!$D:$D,$D243,'Big Board (by rank)'!C:C))</f>
        <v/>
      </c>
      <c r="D243" s="25" t="str">
        <f>IFERROR(VLOOKUP(I243,Selections!B:C,2,FALSE),"")</f>
        <v/>
      </c>
      <c r="E243" s="25" t="str">
        <f>IFERROR(VLOOKUP(D243,'Big Board (by rank)'!D:E,2,FALSE),"")</f>
        <v/>
      </c>
      <c r="F243" s="26"/>
      <c r="G243" s="24" t="str">
        <f>IF(SUMIF('Big Board (by rank)'!D:D,D243,'Big Board (by rank)'!G:G)=0,"",SUMIF('Big Board (by rank)'!D:D,D243,'Big Board (by rank)'!G:G))</f>
        <v/>
      </c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</row>
    <row r="244">
      <c r="A244" s="24" t="str">
        <f>IF(SUMIF('Big Board (by rank)'!$D:$D,$D244,'Big Board (by rank)'!A:A)=0,"",SUMIF('Big Board (by rank)'!$D:$D,$D244,'Big Board (by rank)'!A:A))</f>
        <v/>
      </c>
      <c r="B244" s="24" t="str">
        <f>IF(SUMIF('Big Board (by rank)'!$D:$D,$D244,'Big Board (by rank)'!B:B)=0,"",SUMIF('Big Board (by rank)'!$D:$D,$D244,'Big Board (by rank)'!B:B))</f>
        <v/>
      </c>
      <c r="C244" s="24" t="str">
        <f>IF(SUMIF('Big Board (by rank)'!$D:$D,$D244,'Big Board (by rank)'!C:C)=0,"",SUMIF('Big Board (by rank)'!$D:$D,$D244,'Big Board (by rank)'!C:C))</f>
        <v/>
      </c>
      <c r="D244" s="25" t="str">
        <f>IFERROR(VLOOKUP(I244,Selections!B:C,2,FALSE),"")</f>
        <v/>
      </c>
      <c r="E244" s="25" t="str">
        <f>IFERROR(VLOOKUP(D244,'Big Board (by rank)'!D:E,2,FALSE),"")</f>
        <v/>
      </c>
      <c r="F244" s="26"/>
      <c r="G244" s="24" t="str">
        <f>IF(SUMIF('Big Board (by rank)'!D:D,D244,'Big Board (by rank)'!G:G)=0,"",SUMIF('Big Board (by rank)'!D:D,D244,'Big Board (by rank)'!G:G))</f>
        <v/>
      </c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</row>
    <row r="245">
      <c r="A245" s="24" t="str">
        <f>IF(SUMIF('Big Board (by rank)'!$D:$D,$D245,'Big Board (by rank)'!A:A)=0,"",SUMIF('Big Board (by rank)'!$D:$D,$D245,'Big Board (by rank)'!A:A))</f>
        <v/>
      </c>
      <c r="B245" s="24" t="str">
        <f>IF(SUMIF('Big Board (by rank)'!$D:$D,$D245,'Big Board (by rank)'!B:B)=0,"",SUMIF('Big Board (by rank)'!$D:$D,$D245,'Big Board (by rank)'!B:B))</f>
        <v/>
      </c>
      <c r="C245" s="24" t="str">
        <f>IF(SUMIF('Big Board (by rank)'!$D:$D,$D245,'Big Board (by rank)'!C:C)=0,"",SUMIF('Big Board (by rank)'!$D:$D,$D245,'Big Board (by rank)'!C:C))</f>
        <v/>
      </c>
      <c r="D245" s="25" t="str">
        <f>IFERROR(VLOOKUP(I245,Selections!B:C,2,FALSE),"")</f>
        <v/>
      </c>
      <c r="E245" s="25" t="str">
        <f>IFERROR(VLOOKUP(D245,'Big Board (by rank)'!D:E,2,FALSE),"")</f>
        <v/>
      </c>
      <c r="F245" s="26"/>
      <c r="G245" s="24" t="str">
        <f>IF(SUMIF('Big Board (by rank)'!D:D,D245,'Big Board (by rank)'!G:G)=0,"",SUMIF('Big Board (by rank)'!D:D,D245,'Big Board (by rank)'!G:G))</f>
        <v/>
      </c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</row>
    <row r="246">
      <c r="A246" s="24" t="str">
        <f>IF(SUMIF('Big Board (by rank)'!$D:$D,$D246,'Big Board (by rank)'!A:A)=0,"",SUMIF('Big Board (by rank)'!$D:$D,$D246,'Big Board (by rank)'!A:A))</f>
        <v/>
      </c>
      <c r="B246" s="24" t="str">
        <f>IF(SUMIF('Big Board (by rank)'!$D:$D,$D246,'Big Board (by rank)'!B:B)=0,"",SUMIF('Big Board (by rank)'!$D:$D,$D246,'Big Board (by rank)'!B:B))</f>
        <v/>
      </c>
      <c r="C246" s="24" t="str">
        <f>IF(SUMIF('Big Board (by rank)'!$D:$D,$D246,'Big Board (by rank)'!C:C)=0,"",SUMIF('Big Board (by rank)'!$D:$D,$D246,'Big Board (by rank)'!C:C))</f>
        <v/>
      </c>
      <c r="D246" s="25" t="str">
        <f>IFERROR(VLOOKUP(I246,Selections!B:C,2,FALSE),"")</f>
        <v/>
      </c>
      <c r="E246" s="25" t="str">
        <f>IFERROR(VLOOKUP(D246,'Big Board (by rank)'!D:E,2,FALSE),"")</f>
        <v/>
      </c>
      <c r="F246" s="26"/>
      <c r="G246" s="24" t="str">
        <f>IF(SUMIF('Big Board (by rank)'!D:D,D246,'Big Board (by rank)'!G:G)=0,"",SUMIF('Big Board (by rank)'!D:D,D246,'Big Board (by rank)'!G:G))</f>
        <v/>
      </c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</row>
    <row r="247">
      <c r="A247" s="24" t="str">
        <f>IF(SUMIF('Big Board (by rank)'!$D:$D,$D247,'Big Board (by rank)'!A:A)=0,"",SUMIF('Big Board (by rank)'!$D:$D,$D247,'Big Board (by rank)'!A:A))</f>
        <v/>
      </c>
      <c r="B247" s="24" t="str">
        <f>IF(SUMIF('Big Board (by rank)'!$D:$D,$D247,'Big Board (by rank)'!B:B)=0,"",SUMIF('Big Board (by rank)'!$D:$D,$D247,'Big Board (by rank)'!B:B))</f>
        <v/>
      </c>
      <c r="C247" s="24" t="str">
        <f>IF(SUMIF('Big Board (by rank)'!$D:$D,$D247,'Big Board (by rank)'!C:C)=0,"",SUMIF('Big Board (by rank)'!$D:$D,$D247,'Big Board (by rank)'!C:C))</f>
        <v/>
      </c>
      <c r="D247" s="25" t="str">
        <f>IFERROR(VLOOKUP(I247,Selections!B:C,2,FALSE),"")</f>
        <v/>
      </c>
      <c r="E247" s="25" t="str">
        <f>IFERROR(VLOOKUP(D247,'Big Board (by rank)'!D:E,2,FALSE),"")</f>
        <v/>
      </c>
      <c r="F247" s="26"/>
      <c r="G247" s="24" t="str">
        <f>IF(SUMIF('Big Board (by rank)'!D:D,D247,'Big Board (by rank)'!G:G)=0,"",SUMIF('Big Board (by rank)'!D:D,D247,'Big Board (by rank)'!G:G))</f>
        <v/>
      </c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</row>
    <row r="248">
      <c r="A248" s="24" t="str">
        <f>IF(SUMIF('Big Board (by rank)'!$D:$D,$D248,'Big Board (by rank)'!A:A)=0,"",SUMIF('Big Board (by rank)'!$D:$D,$D248,'Big Board (by rank)'!A:A))</f>
        <v/>
      </c>
      <c r="B248" s="24" t="str">
        <f>IF(SUMIF('Big Board (by rank)'!$D:$D,$D248,'Big Board (by rank)'!B:B)=0,"",SUMIF('Big Board (by rank)'!$D:$D,$D248,'Big Board (by rank)'!B:B))</f>
        <v/>
      </c>
      <c r="C248" s="24" t="str">
        <f>IF(SUMIF('Big Board (by rank)'!$D:$D,$D248,'Big Board (by rank)'!C:C)=0,"",SUMIF('Big Board (by rank)'!$D:$D,$D248,'Big Board (by rank)'!C:C))</f>
        <v/>
      </c>
      <c r="D248" s="25" t="str">
        <f>IFERROR(VLOOKUP(I248,Selections!B:C,2,FALSE),"")</f>
        <v/>
      </c>
      <c r="E248" s="25" t="str">
        <f>IFERROR(VLOOKUP(D248,'Big Board (by rank)'!D:E,2,FALSE),"")</f>
        <v/>
      </c>
      <c r="F248" s="26"/>
      <c r="G248" s="24" t="str">
        <f>IF(SUMIF('Big Board (by rank)'!D:D,D248,'Big Board (by rank)'!G:G)=0,"",SUMIF('Big Board (by rank)'!D:D,D248,'Big Board (by rank)'!G:G))</f>
        <v/>
      </c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</row>
    <row r="249">
      <c r="A249" s="24" t="str">
        <f>IF(SUMIF('Big Board (by rank)'!$D:$D,$D249,'Big Board (by rank)'!A:A)=0,"",SUMIF('Big Board (by rank)'!$D:$D,$D249,'Big Board (by rank)'!A:A))</f>
        <v/>
      </c>
      <c r="B249" s="24" t="str">
        <f>IF(SUMIF('Big Board (by rank)'!$D:$D,$D249,'Big Board (by rank)'!B:B)=0,"",SUMIF('Big Board (by rank)'!$D:$D,$D249,'Big Board (by rank)'!B:B))</f>
        <v/>
      </c>
      <c r="C249" s="24" t="str">
        <f>IF(SUMIF('Big Board (by rank)'!$D:$D,$D249,'Big Board (by rank)'!C:C)=0,"",SUMIF('Big Board (by rank)'!$D:$D,$D249,'Big Board (by rank)'!C:C))</f>
        <v/>
      </c>
      <c r="D249" s="25" t="str">
        <f>IFERROR(VLOOKUP(I249,Selections!B:C,2,FALSE),"")</f>
        <v/>
      </c>
      <c r="E249" s="25" t="str">
        <f>IFERROR(VLOOKUP(D249,'Big Board (by rank)'!D:E,2,FALSE),"")</f>
        <v/>
      </c>
      <c r="F249" s="26"/>
      <c r="G249" s="24" t="str">
        <f>IF(SUMIF('Big Board (by rank)'!D:D,D249,'Big Board (by rank)'!G:G)=0,"",SUMIF('Big Board (by rank)'!D:D,D249,'Big Board (by rank)'!G:G))</f>
        <v/>
      </c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</row>
    <row r="250">
      <c r="A250" s="24" t="str">
        <f>IF(SUMIF('Big Board (by rank)'!$D:$D,$D250,'Big Board (by rank)'!A:A)=0,"",SUMIF('Big Board (by rank)'!$D:$D,$D250,'Big Board (by rank)'!A:A))</f>
        <v/>
      </c>
      <c r="B250" s="24" t="str">
        <f>IF(SUMIF('Big Board (by rank)'!$D:$D,$D250,'Big Board (by rank)'!B:B)=0,"",SUMIF('Big Board (by rank)'!$D:$D,$D250,'Big Board (by rank)'!B:B))</f>
        <v/>
      </c>
      <c r="C250" s="24" t="str">
        <f>IF(SUMIF('Big Board (by rank)'!$D:$D,$D250,'Big Board (by rank)'!C:C)=0,"",SUMIF('Big Board (by rank)'!$D:$D,$D250,'Big Board (by rank)'!C:C))</f>
        <v/>
      </c>
      <c r="D250" s="25" t="str">
        <f>IFERROR(VLOOKUP(I250,Selections!B:C,2,FALSE),"")</f>
        <v/>
      </c>
      <c r="E250" s="25" t="str">
        <f>IFERROR(VLOOKUP(D250,'Big Board (by rank)'!D:E,2,FALSE),"")</f>
        <v/>
      </c>
      <c r="F250" s="26"/>
      <c r="G250" s="24" t="str">
        <f>IF(SUMIF('Big Board (by rank)'!D:D,D250,'Big Board (by rank)'!G:G)=0,"",SUMIF('Big Board (by rank)'!D:D,D250,'Big Board (by rank)'!G:G))</f>
        <v/>
      </c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</row>
    <row r="251">
      <c r="A251" s="24" t="str">
        <f>IF(SUMIF('Big Board (by rank)'!$D:$D,$D251,'Big Board (by rank)'!A:A)=0,"",SUMIF('Big Board (by rank)'!$D:$D,$D251,'Big Board (by rank)'!A:A))</f>
        <v/>
      </c>
      <c r="B251" s="24" t="str">
        <f>IF(SUMIF('Big Board (by rank)'!$D:$D,$D251,'Big Board (by rank)'!B:B)=0,"",SUMIF('Big Board (by rank)'!$D:$D,$D251,'Big Board (by rank)'!B:B))</f>
        <v/>
      </c>
      <c r="C251" s="24" t="str">
        <f>IF(SUMIF('Big Board (by rank)'!$D:$D,$D251,'Big Board (by rank)'!C:C)=0,"",SUMIF('Big Board (by rank)'!$D:$D,$D251,'Big Board (by rank)'!C:C))</f>
        <v/>
      </c>
      <c r="D251" s="25" t="str">
        <f>IFERROR(VLOOKUP(I251,Selections!B:C,2,FALSE),"")</f>
        <v/>
      </c>
      <c r="E251" s="25" t="str">
        <f>IFERROR(VLOOKUP(D251,'Big Board (by rank)'!D:E,2,FALSE),"")</f>
        <v/>
      </c>
      <c r="F251" s="26"/>
      <c r="G251" s="24" t="str">
        <f>IF(SUMIF('Big Board (by rank)'!D:D,D251,'Big Board (by rank)'!G:G)=0,"",SUMIF('Big Board (by rank)'!D:D,D251,'Big Board (by rank)'!G:G))</f>
        <v/>
      </c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</row>
    <row r="252">
      <c r="A252" s="24" t="str">
        <f>IF(SUMIF('Big Board (by rank)'!$D:$D,$D252,'Big Board (by rank)'!A:A)=0,"",SUMIF('Big Board (by rank)'!$D:$D,$D252,'Big Board (by rank)'!A:A))</f>
        <v/>
      </c>
      <c r="B252" s="24" t="str">
        <f>IF(SUMIF('Big Board (by rank)'!$D:$D,$D252,'Big Board (by rank)'!B:B)=0,"",SUMIF('Big Board (by rank)'!$D:$D,$D252,'Big Board (by rank)'!B:B))</f>
        <v/>
      </c>
      <c r="C252" s="24" t="str">
        <f>IF(SUMIF('Big Board (by rank)'!$D:$D,$D252,'Big Board (by rank)'!C:C)=0,"",SUMIF('Big Board (by rank)'!$D:$D,$D252,'Big Board (by rank)'!C:C))</f>
        <v/>
      </c>
      <c r="D252" s="25" t="str">
        <f>IFERROR(VLOOKUP(I252,Selections!B:C,2,FALSE),"")</f>
        <v/>
      </c>
      <c r="E252" s="25" t="str">
        <f>IFERROR(VLOOKUP(D252,'Big Board (by rank)'!D:E,2,FALSE),"")</f>
        <v/>
      </c>
      <c r="F252" s="26"/>
      <c r="G252" s="24" t="str">
        <f>IF(SUMIF('Big Board (by rank)'!D:D,D252,'Big Board (by rank)'!G:G)=0,"",SUMIF('Big Board (by rank)'!D:D,D252,'Big Board (by rank)'!G:G))</f>
        <v/>
      </c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</row>
    <row r="253">
      <c r="A253" s="24" t="str">
        <f>IF(SUMIF('Big Board (by rank)'!$D:$D,$D253,'Big Board (by rank)'!A:A)=0,"",SUMIF('Big Board (by rank)'!$D:$D,$D253,'Big Board (by rank)'!A:A))</f>
        <v/>
      </c>
      <c r="B253" s="24" t="str">
        <f>IF(SUMIF('Big Board (by rank)'!$D:$D,$D253,'Big Board (by rank)'!B:B)=0,"",SUMIF('Big Board (by rank)'!$D:$D,$D253,'Big Board (by rank)'!B:B))</f>
        <v/>
      </c>
      <c r="C253" s="24" t="str">
        <f>IF(SUMIF('Big Board (by rank)'!$D:$D,$D253,'Big Board (by rank)'!C:C)=0,"",SUMIF('Big Board (by rank)'!$D:$D,$D253,'Big Board (by rank)'!C:C))</f>
        <v/>
      </c>
      <c r="D253" s="25" t="str">
        <f>IFERROR(VLOOKUP(I253,Selections!B:C,2,FALSE),"")</f>
        <v/>
      </c>
      <c r="E253" s="25" t="str">
        <f>IFERROR(VLOOKUP(D253,'Big Board (by rank)'!D:E,2,FALSE),"")</f>
        <v/>
      </c>
      <c r="F253" s="26"/>
      <c r="G253" s="24" t="str">
        <f>IF(SUMIF('Big Board (by rank)'!D:D,D253,'Big Board (by rank)'!G:G)=0,"",SUMIF('Big Board (by rank)'!D:D,D253,'Big Board (by rank)'!G:G))</f>
        <v/>
      </c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</row>
    <row r="254">
      <c r="A254" s="24" t="str">
        <f>IF(SUMIF('Big Board (by rank)'!$D:$D,$D254,'Big Board (by rank)'!A:A)=0,"",SUMIF('Big Board (by rank)'!$D:$D,$D254,'Big Board (by rank)'!A:A))</f>
        <v/>
      </c>
      <c r="B254" s="24" t="str">
        <f>IF(SUMIF('Big Board (by rank)'!$D:$D,$D254,'Big Board (by rank)'!B:B)=0,"",SUMIF('Big Board (by rank)'!$D:$D,$D254,'Big Board (by rank)'!B:B))</f>
        <v/>
      </c>
      <c r="C254" s="24" t="str">
        <f>IF(SUMIF('Big Board (by rank)'!$D:$D,$D254,'Big Board (by rank)'!C:C)=0,"",SUMIF('Big Board (by rank)'!$D:$D,$D254,'Big Board (by rank)'!C:C))</f>
        <v/>
      </c>
      <c r="D254" s="25" t="str">
        <f>IFERROR(VLOOKUP(I254,Selections!B:C,2,FALSE),"")</f>
        <v/>
      </c>
      <c r="E254" s="25" t="str">
        <f>IFERROR(VLOOKUP(D254,'Big Board (by rank)'!D:E,2,FALSE),"")</f>
        <v/>
      </c>
      <c r="F254" s="26"/>
      <c r="G254" s="24" t="str">
        <f>IF(SUMIF('Big Board (by rank)'!D:D,D254,'Big Board (by rank)'!G:G)=0,"",SUMIF('Big Board (by rank)'!D:D,D254,'Big Board (by rank)'!G:G))</f>
        <v/>
      </c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</row>
    <row r="255">
      <c r="A255" s="24" t="str">
        <f>IF(SUMIF('Big Board (by rank)'!$D:$D,$D255,'Big Board (by rank)'!A:A)=0,"",SUMIF('Big Board (by rank)'!$D:$D,$D255,'Big Board (by rank)'!A:A))</f>
        <v/>
      </c>
      <c r="B255" s="24" t="str">
        <f>IF(SUMIF('Big Board (by rank)'!$D:$D,$D255,'Big Board (by rank)'!B:B)=0,"",SUMIF('Big Board (by rank)'!$D:$D,$D255,'Big Board (by rank)'!B:B))</f>
        <v/>
      </c>
      <c r="C255" s="24" t="str">
        <f>IF(SUMIF('Big Board (by rank)'!$D:$D,$D255,'Big Board (by rank)'!C:C)=0,"",SUMIF('Big Board (by rank)'!$D:$D,$D255,'Big Board (by rank)'!C:C))</f>
        <v/>
      </c>
      <c r="D255" s="25" t="str">
        <f>IFERROR(VLOOKUP(I255,Selections!B:C,2,FALSE),"")</f>
        <v/>
      </c>
      <c r="E255" s="25" t="str">
        <f>IFERROR(VLOOKUP(D255,'Big Board (by rank)'!D:E,2,FALSE),"")</f>
        <v/>
      </c>
      <c r="F255" s="26"/>
      <c r="G255" s="24" t="str">
        <f>IF(SUMIF('Big Board (by rank)'!D:D,D255,'Big Board (by rank)'!G:G)=0,"",SUMIF('Big Board (by rank)'!D:D,D255,'Big Board (by rank)'!G:G))</f>
        <v/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</row>
    <row r="256">
      <c r="A256" s="24" t="str">
        <f>IF(SUMIF('Big Board (by rank)'!$D:$D,$D256,'Big Board (by rank)'!A:A)=0,"",SUMIF('Big Board (by rank)'!$D:$D,$D256,'Big Board (by rank)'!A:A))</f>
        <v/>
      </c>
      <c r="B256" s="24" t="str">
        <f>IF(SUMIF('Big Board (by rank)'!$D:$D,$D256,'Big Board (by rank)'!B:B)=0,"",SUMIF('Big Board (by rank)'!$D:$D,$D256,'Big Board (by rank)'!B:B))</f>
        <v/>
      </c>
      <c r="C256" s="24" t="str">
        <f>IF(SUMIF('Big Board (by rank)'!$D:$D,$D256,'Big Board (by rank)'!C:C)=0,"",SUMIF('Big Board (by rank)'!$D:$D,$D256,'Big Board (by rank)'!C:C))</f>
        <v/>
      </c>
      <c r="D256" s="25" t="str">
        <f>IFERROR(VLOOKUP(I256,Selections!B:C,2,FALSE),"")</f>
        <v/>
      </c>
      <c r="E256" s="25" t="str">
        <f>IFERROR(VLOOKUP(D256,'Big Board (by rank)'!D:E,2,FALSE),"")</f>
        <v/>
      </c>
      <c r="F256" s="26"/>
      <c r="G256" s="24" t="str">
        <f>IF(SUMIF('Big Board (by rank)'!D:D,D256,'Big Board (by rank)'!G:G)=0,"",SUMIF('Big Board (by rank)'!D:D,D256,'Big Board (by rank)'!G:G))</f>
        <v/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</row>
    <row r="257">
      <c r="A257" s="24" t="str">
        <f>IF(SUMIF('Big Board (by rank)'!$D:$D,$D257,'Big Board (by rank)'!A:A)=0,"",SUMIF('Big Board (by rank)'!$D:$D,$D257,'Big Board (by rank)'!A:A))</f>
        <v/>
      </c>
      <c r="B257" s="24" t="str">
        <f>IF(SUMIF('Big Board (by rank)'!$D:$D,$D257,'Big Board (by rank)'!B:B)=0,"",SUMIF('Big Board (by rank)'!$D:$D,$D257,'Big Board (by rank)'!B:B))</f>
        <v/>
      </c>
      <c r="C257" s="24" t="str">
        <f>IF(SUMIF('Big Board (by rank)'!$D:$D,$D257,'Big Board (by rank)'!C:C)=0,"",SUMIF('Big Board (by rank)'!$D:$D,$D257,'Big Board (by rank)'!C:C))</f>
        <v/>
      </c>
      <c r="D257" s="25" t="str">
        <f>IFERROR(VLOOKUP(I257,Selections!B:C,2,FALSE),"")</f>
        <v/>
      </c>
      <c r="E257" s="25" t="str">
        <f>IFERROR(VLOOKUP(D257,'Big Board (by rank)'!D:E,2,FALSE),"")</f>
        <v/>
      </c>
      <c r="F257" s="26"/>
      <c r="G257" s="24" t="str">
        <f>IF(SUMIF('Big Board (by rank)'!D:D,D257,'Big Board (by rank)'!G:G)=0,"",SUMIF('Big Board (by rank)'!D:D,D257,'Big Board (by rank)'!G:G))</f>
        <v/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</row>
    <row r="258">
      <c r="A258" s="24" t="str">
        <f>IF(SUMIF('Big Board (by rank)'!$D:$D,$D258,'Big Board (by rank)'!A:A)=0,"",SUMIF('Big Board (by rank)'!$D:$D,$D258,'Big Board (by rank)'!A:A))</f>
        <v/>
      </c>
      <c r="B258" s="24" t="str">
        <f>IF(SUMIF('Big Board (by rank)'!$D:$D,$D258,'Big Board (by rank)'!B:B)=0,"",SUMIF('Big Board (by rank)'!$D:$D,$D258,'Big Board (by rank)'!B:B))</f>
        <v/>
      </c>
      <c r="C258" s="24" t="str">
        <f>IF(SUMIF('Big Board (by rank)'!$D:$D,$D258,'Big Board (by rank)'!C:C)=0,"",SUMIF('Big Board (by rank)'!$D:$D,$D258,'Big Board (by rank)'!C:C))</f>
        <v/>
      </c>
      <c r="D258" s="25" t="str">
        <f>IFERROR(VLOOKUP(I258,Selections!B:C,2,FALSE),"")</f>
        <v/>
      </c>
      <c r="E258" s="25" t="str">
        <f>IFERROR(VLOOKUP(D258,'Big Board (by rank)'!D:E,2,FALSE),"")</f>
        <v/>
      </c>
      <c r="F258" s="26"/>
      <c r="G258" s="24" t="str">
        <f>IF(SUMIF('Big Board (by rank)'!D:D,D258,'Big Board (by rank)'!G:G)=0,"",SUMIF('Big Board (by rank)'!D:D,D258,'Big Board (by rank)'!G:G))</f>
        <v/>
      </c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</row>
    <row r="259">
      <c r="A259" s="24" t="str">
        <f>IF(SUMIF('Big Board (by rank)'!$D:$D,$D259,'Big Board (by rank)'!A:A)=0,"",SUMIF('Big Board (by rank)'!$D:$D,$D259,'Big Board (by rank)'!A:A))</f>
        <v/>
      </c>
      <c r="B259" s="24" t="str">
        <f>IF(SUMIF('Big Board (by rank)'!$D:$D,$D259,'Big Board (by rank)'!B:B)=0,"",SUMIF('Big Board (by rank)'!$D:$D,$D259,'Big Board (by rank)'!B:B))</f>
        <v/>
      </c>
      <c r="C259" s="24" t="str">
        <f>IF(SUMIF('Big Board (by rank)'!$D:$D,$D259,'Big Board (by rank)'!C:C)=0,"",SUMIF('Big Board (by rank)'!$D:$D,$D259,'Big Board (by rank)'!C:C))</f>
        <v/>
      </c>
      <c r="D259" s="25" t="str">
        <f>IFERROR(VLOOKUP(I259,Selections!B:C,2,FALSE),"")</f>
        <v/>
      </c>
      <c r="E259" s="25" t="str">
        <f>IFERROR(VLOOKUP(D259,'Big Board (by rank)'!D:E,2,FALSE),"")</f>
        <v/>
      </c>
      <c r="F259" s="26"/>
      <c r="G259" s="24" t="str">
        <f>IF(SUMIF('Big Board (by rank)'!D:D,D259,'Big Board (by rank)'!G:G)=0,"",SUMIF('Big Board (by rank)'!D:D,D259,'Big Board (by rank)'!G:G))</f>
        <v/>
      </c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</row>
    <row r="260">
      <c r="A260" s="24" t="str">
        <f>IF(SUMIF('Big Board (by rank)'!$D:$D,$D260,'Big Board (by rank)'!A:A)=0,"",SUMIF('Big Board (by rank)'!$D:$D,$D260,'Big Board (by rank)'!A:A))</f>
        <v/>
      </c>
      <c r="B260" s="24" t="str">
        <f>IF(SUMIF('Big Board (by rank)'!$D:$D,$D260,'Big Board (by rank)'!B:B)=0,"",SUMIF('Big Board (by rank)'!$D:$D,$D260,'Big Board (by rank)'!B:B))</f>
        <v/>
      </c>
      <c r="C260" s="24" t="str">
        <f>IF(SUMIF('Big Board (by rank)'!$D:$D,$D260,'Big Board (by rank)'!C:C)=0,"",SUMIF('Big Board (by rank)'!$D:$D,$D260,'Big Board (by rank)'!C:C))</f>
        <v/>
      </c>
      <c r="D260" s="25" t="str">
        <f>IFERROR(VLOOKUP(I260,Selections!B:C,2,FALSE),"")</f>
        <v/>
      </c>
      <c r="E260" s="25" t="str">
        <f>IFERROR(VLOOKUP(D260,'Big Board (by rank)'!D:E,2,FALSE),"")</f>
        <v/>
      </c>
      <c r="F260" s="26"/>
      <c r="G260" s="24" t="str">
        <f>IF(SUMIF('Big Board (by rank)'!D:D,D260,'Big Board (by rank)'!G:G)=0,"",SUMIF('Big Board (by rank)'!D:D,D260,'Big Board (by rank)'!G:G))</f>
        <v/>
      </c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</row>
    <row r="261">
      <c r="A261" s="24" t="str">
        <f>IF(SUMIF('Big Board (by rank)'!$D:$D,$D261,'Big Board (by rank)'!A:A)=0,"",SUMIF('Big Board (by rank)'!$D:$D,$D261,'Big Board (by rank)'!A:A))</f>
        <v/>
      </c>
      <c r="B261" s="24" t="str">
        <f>IF(SUMIF('Big Board (by rank)'!$D:$D,$D261,'Big Board (by rank)'!B:B)=0,"",SUMIF('Big Board (by rank)'!$D:$D,$D261,'Big Board (by rank)'!B:B))</f>
        <v/>
      </c>
      <c r="C261" s="24" t="str">
        <f>IF(SUMIF('Big Board (by rank)'!$D:$D,$D261,'Big Board (by rank)'!C:C)=0,"",SUMIF('Big Board (by rank)'!$D:$D,$D261,'Big Board (by rank)'!C:C))</f>
        <v/>
      </c>
      <c r="D261" s="25" t="str">
        <f>IFERROR(VLOOKUP(I261,Selections!B:C,2,FALSE),"")</f>
        <v/>
      </c>
      <c r="E261" s="25" t="str">
        <f>IFERROR(VLOOKUP(D261,'Big Board (by rank)'!D:E,2,FALSE),"")</f>
        <v/>
      </c>
      <c r="F261" s="26"/>
      <c r="G261" s="24" t="str">
        <f>IF(SUMIF('Big Board (by rank)'!D:D,D261,'Big Board (by rank)'!G:G)=0,"",SUMIF('Big Board (by rank)'!D:D,D261,'Big Board (by rank)'!G:G))</f>
        <v/>
      </c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</row>
    <row r="262">
      <c r="A262" s="24" t="str">
        <f>IF(SUMIF('Big Board (by rank)'!$D:$D,$D262,'Big Board (by rank)'!A:A)=0,"",SUMIF('Big Board (by rank)'!$D:$D,$D262,'Big Board (by rank)'!A:A))</f>
        <v/>
      </c>
      <c r="B262" s="24" t="str">
        <f>IF(SUMIF('Big Board (by rank)'!$D:$D,$D262,'Big Board (by rank)'!B:B)=0,"",SUMIF('Big Board (by rank)'!$D:$D,$D262,'Big Board (by rank)'!B:B))</f>
        <v/>
      </c>
      <c r="C262" s="24" t="str">
        <f>IF(SUMIF('Big Board (by rank)'!$D:$D,$D262,'Big Board (by rank)'!C:C)=0,"",SUMIF('Big Board (by rank)'!$D:$D,$D262,'Big Board (by rank)'!C:C))</f>
        <v/>
      </c>
      <c r="D262" s="25" t="str">
        <f>IFERROR(VLOOKUP(I262,Selections!B:C,2,FALSE),"")</f>
        <v/>
      </c>
      <c r="E262" s="25" t="str">
        <f>IFERROR(VLOOKUP(D262,'Big Board (by rank)'!D:E,2,FALSE),"")</f>
        <v/>
      </c>
      <c r="F262" s="26"/>
      <c r="G262" s="24" t="str">
        <f>IF(SUMIF('Big Board (by rank)'!D:D,D262,'Big Board (by rank)'!G:G)=0,"",SUMIF('Big Board (by rank)'!D:D,D262,'Big Board (by rank)'!G:G))</f>
        <v/>
      </c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</row>
  </sheetData>
  <autoFilter ref="$A$1:$U$262">
    <sortState ref="A1:U262">
      <sortCondition ref="H1:H262"/>
      <sortCondition ref="I1:I262"/>
    </sortState>
  </autoFilter>
  <dataValidations>
    <dataValidation type="list" allowBlank="1" showErrorMessage="1" sqref="I2:I262">
      <formula1>'Team Names'!$A:$A</formula1>
    </dataValidation>
    <dataValidation type="list" allowBlank="1" showErrorMessage="1" sqref="H2:H262">
      <formula1>'Team Names'!$B$1:$B$259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27" t="s">
        <v>12</v>
      </c>
      <c r="B1" s="27" t="s">
        <v>1068</v>
      </c>
      <c r="C1" s="27" t="s">
        <v>1069</v>
      </c>
      <c r="D1" s="27" t="s">
        <v>1080</v>
      </c>
      <c r="E1" s="27" t="s">
        <v>1081</v>
      </c>
      <c r="F1" s="27" t="s">
        <v>1082</v>
      </c>
      <c r="G1" s="27" t="s">
        <v>1083</v>
      </c>
    </row>
    <row r="2">
      <c r="A2" s="26" t="s">
        <v>68</v>
      </c>
      <c r="B2" s="28">
        <f>SUMIF('Pick by Pick Grades'!I:I,A2,'Pick by Pick Grades'!J:J)</f>
        <v>0</v>
      </c>
      <c r="C2" s="28">
        <f>SUMIF('Pick by Pick Grades'!I:I,A2,'Pick by Pick Grades'!S:S)</f>
        <v>0</v>
      </c>
      <c r="D2" s="29" t="str">
        <f t="shared" ref="D2:D33" si="1">C2/B2</f>
        <v>#DIV/0!</v>
      </c>
      <c r="E2" s="29" t="str">
        <f>COUNTIFS('Pick by Pick Grades'!I:I,A2,'Pick by Pick Grades'!U:U,"&gt;49.9")/COUNTIF('Pick by Pick Grades'!I:I,A2)</f>
        <v>#DIV/0!</v>
      </c>
      <c r="F2" s="29" t="str">
        <f>COUNTIFS('Pick by Pick Grades'!I:I,A2,'Pick by Pick Grades'!U:U,"&lt;-49.9")/COUNTIF('Pick by Pick Grades'!I:I,A2)</f>
        <v>#DIV/0!</v>
      </c>
      <c r="G2" s="30" t="str">
        <f>COUNTIFS('Pick by Pick Grades'!I:I,A2,'Pick by Pick Grades'!U:U,"&gt;-49.9",'Pick by Pick Grades'!U:U,"&lt;49.9")/COUNTIF('Pick by Pick Grades'!I:I,A2)</f>
        <v>#DIV/0!</v>
      </c>
    </row>
    <row r="3">
      <c r="A3" s="26" t="s">
        <v>24</v>
      </c>
      <c r="B3" s="28">
        <f>SUMIF('Pick by Pick Grades'!I:I,A3,'Pick by Pick Grades'!J:J)</f>
        <v>0</v>
      </c>
      <c r="C3" s="28">
        <f>SUMIF('Pick by Pick Grades'!I:I,A3,'Pick by Pick Grades'!S:S)</f>
        <v>0</v>
      </c>
      <c r="D3" s="29" t="str">
        <f t="shared" si="1"/>
        <v>#DIV/0!</v>
      </c>
      <c r="E3" s="29" t="str">
        <f>COUNTIFS('Pick by Pick Grades'!I:I,A3,'Pick by Pick Grades'!U:U,"&gt;49.9")/COUNTIF('Pick by Pick Grades'!I:I,A3)</f>
        <v>#DIV/0!</v>
      </c>
      <c r="F3" s="29" t="str">
        <f>COUNTIFS('Pick by Pick Grades'!I:I,A3,'Pick by Pick Grades'!U:U,"&lt;-49.9")/COUNTIF('Pick by Pick Grades'!I:I,A3)</f>
        <v>#DIV/0!</v>
      </c>
      <c r="G3" s="30" t="str">
        <f>COUNTIFS('Pick by Pick Grades'!I:I,A3,'Pick by Pick Grades'!U:U,"&gt;-49.9",'Pick by Pick Grades'!U:U,"&lt;49.9")/COUNTIF('Pick by Pick Grades'!I:I,A3)</f>
        <v>#DIV/0!</v>
      </c>
    </row>
    <row r="4">
      <c r="A4" s="26" t="s">
        <v>45</v>
      </c>
      <c r="B4" s="28">
        <f>SUMIF('Pick by Pick Grades'!I:I,A4,'Pick by Pick Grades'!J:J)</f>
        <v>0</v>
      </c>
      <c r="C4" s="28">
        <f>SUMIF('Pick by Pick Grades'!I:I,A4,'Pick by Pick Grades'!S:S)</f>
        <v>0</v>
      </c>
      <c r="D4" s="29" t="str">
        <f t="shared" si="1"/>
        <v>#DIV/0!</v>
      </c>
      <c r="E4" s="29" t="str">
        <f>COUNTIFS('Pick by Pick Grades'!I:I,A4,'Pick by Pick Grades'!U:U,"&gt;49.9")/COUNTIF('Pick by Pick Grades'!I:I,A4)</f>
        <v>#DIV/0!</v>
      </c>
      <c r="F4" s="29" t="str">
        <f>COUNTIFS('Pick by Pick Grades'!I:I,A4,'Pick by Pick Grades'!U:U,"&lt;-49.9")/COUNTIF('Pick by Pick Grades'!I:I,A4)</f>
        <v>#DIV/0!</v>
      </c>
      <c r="G4" s="30" t="str">
        <f>COUNTIFS('Pick by Pick Grades'!I:I,A4,'Pick by Pick Grades'!U:U,"&gt;-49.9",'Pick by Pick Grades'!U:U,"&lt;49.9")/COUNTIF('Pick by Pick Grades'!I:I,A4)</f>
        <v>#DIV/0!</v>
      </c>
    </row>
    <row r="5">
      <c r="A5" s="26" t="s">
        <v>135</v>
      </c>
      <c r="B5" s="28">
        <f>SUMIF('Pick by Pick Grades'!I:I,A5,'Pick by Pick Grades'!J:J)</f>
        <v>0</v>
      </c>
      <c r="C5" s="28">
        <f>SUMIF('Pick by Pick Grades'!I:I,A5,'Pick by Pick Grades'!S:S)</f>
        <v>0</v>
      </c>
      <c r="D5" s="29" t="str">
        <f t="shared" si="1"/>
        <v>#DIV/0!</v>
      </c>
      <c r="E5" s="29" t="str">
        <f>COUNTIFS('Pick by Pick Grades'!I:I,A5,'Pick by Pick Grades'!U:U,"&gt;49.9")/COUNTIF('Pick by Pick Grades'!I:I,A5)</f>
        <v>#DIV/0!</v>
      </c>
      <c r="F5" s="29" t="str">
        <f>COUNTIFS('Pick by Pick Grades'!I:I,A5,'Pick by Pick Grades'!U:U,"&lt;-49.9")/COUNTIF('Pick by Pick Grades'!I:I,A5)</f>
        <v>#DIV/0!</v>
      </c>
      <c r="G5" s="30" t="str">
        <f>COUNTIFS('Pick by Pick Grades'!I:I,A5,'Pick by Pick Grades'!U:U,"&gt;-49.9",'Pick by Pick Grades'!U:U,"&lt;49.9")/COUNTIF('Pick by Pick Grades'!I:I,A5)</f>
        <v>#DIV/0!</v>
      </c>
    </row>
    <row r="6">
      <c r="A6" s="26" t="s">
        <v>55</v>
      </c>
      <c r="B6" s="28">
        <f>SUMIF('Pick by Pick Grades'!I:I,A6,'Pick by Pick Grades'!J:J)</f>
        <v>0</v>
      </c>
      <c r="C6" s="28">
        <f>SUMIF('Pick by Pick Grades'!I:I,A6,'Pick by Pick Grades'!S:S)</f>
        <v>0</v>
      </c>
      <c r="D6" s="29" t="str">
        <f t="shared" si="1"/>
        <v>#DIV/0!</v>
      </c>
      <c r="E6" s="29" t="str">
        <f>COUNTIFS('Pick by Pick Grades'!I:I,A6,'Pick by Pick Grades'!U:U,"&gt;49.9")/COUNTIF('Pick by Pick Grades'!I:I,A6)</f>
        <v>#DIV/0!</v>
      </c>
      <c r="F6" s="29" t="str">
        <f>COUNTIFS('Pick by Pick Grades'!I:I,A6,'Pick by Pick Grades'!U:U,"&lt;-49.9")/COUNTIF('Pick by Pick Grades'!I:I,A6)</f>
        <v>#DIV/0!</v>
      </c>
      <c r="G6" s="30" t="str">
        <f>COUNTIFS('Pick by Pick Grades'!I:I,A6,'Pick by Pick Grades'!U:U,"&gt;-49.9",'Pick by Pick Grades'!U:U,"&lt;49.9")/COUNTIF('Pick by Pick Grades'!I:I,A6)</f>
        <v>#DIV/0!</v>
      </c>
    </row>
    <row r="7">
      <c r="A7" s="26" t="s">
        <v>48</v>
      </c>
      <c r="B7" s="28">
        <f>SUMIF('Pick by Pick Grades'!I:I,A7,'Pick by Pick Grades'!J:J)</f>
        <v>0</v>
      </c>
      <c r="C7" s="28">
        <f>SUMIF('Pick by Pick Grades'!I:I,A7,'Pick by Pick Grades'!S:S)</f>
        <v>0</v>
      </c>
      <c r="D7" s="29" t="str">
        <f t="shared" si="1"/>
        <v>#DIV/0!</v>
      </c>
      <c r="E7" s="29" t="str">
        <f>COUNTIFS('Pick by Pick Grades'!I:I,A7,'Pick by Pick Grades'!U:U,"&gt;49.9")/COUNTIF('Pick by Pick Grades'!I:I,A7)</f>
        <v>#DIV/0!</v>
      </c>
      <c r="F7" s="29" t="str">
        <f>COUNTIFS('Pick by Pick Grades'!I:I,A7,'Pick by Pick Grades'!U:U,"&lt;-49.9")/COUNTIF('Pick by Pick Grades'!I:I,A7)</f>
        <v>#DIV/0!</v>
      </c>
      <c r="G7" s="30" t="str">
        <f>COUNTIFS('Pick by Pick Grades'!I:I,A7,'Pick by Pick Grades'!U:U,"&gt;-49.9",'Pick by Pick Grades'!U:U,"&lt;49.9")/COUNTIF('Pick by Pick Grades'!I:I,A7)</f>
        <v>#DIV/0!</v>
      </c>
    </row>
    <row r="8">
      <c r="A8" s="26" t="s">
        <v>76</v>
      </c>
      <c r="B8" s="28">
        <f>SUMIF('Pick by Pick Grades'!I:I,A8,'Pick by Pick Grades'!J:J)</f>
        <v>0</v>
      </c>
      <c r="C8" s="28">
        <f>SUMIF('Pick by Pick Grades'!I:I,A8,'Pick by Pick Grades'!S:S)</f>
        <v>0</v>
      </c>
      <c r="D8" s="29" t="str">
        <f t="shared" si="1"/>
        <v>#DIV/0!</v>
      </c>
      <c r="E8" s="29" t="str">
        <f>COUNTIFS('Pick by Pick Grades'!I:I,A8,'Pick by Pick Grades'!U:U,"&gt;49.9")/COUNTIF('Pick by Pick Grades'!I:I,A8)</f>
        <v>#DIV/0!</v>
      </c>
      <c r="F8" s="29" t="str">
        <f>COUNTIFS('Pick by Pick Grades'!I:I,A8,'Pick by Pick Grades'!U:U,"&lt;-49.9")/COUNTIF('Pick by Pick Grades'!I:I,A8)</f>
        <v>#DIV/0!</v>
      </c>
      <c r="G8" s="30" t="str">
        <f>COUNTIFS('Pick by Pick Grades'!I:I,A8,'Pick by Pick Grades'!U:U,"&gt;-49.9",'Pick by Pick Grades'!U:U,"&lt;49.9")/COUNTIF('Pick by Pick Grades'!I:I,A8)</f>
        <v>#DIV/0!</v>
      </c>
    </row>
    <row r="9">
      <c r="A9" s="26" t="s">
        <v>16</v>
      </c>
      <c r="B9" s="28">
        <f>SUMIF('Pick by Pick Grades'!I:I,A9,'Pick by Pick Grades'!J:J)</f>
        <v>0</v>
      </c>
      <c r="C9" s="28">
        <f>SUMIF('Pick by Pick Grades'!I:I,A9,'Pick by Pick Grades'!S:S)</f>
        <v>0</v>
      </c>
      <c r="D9" s="29" t="str">
        <f t="shared" si="1"/>
        <v>#DIV/0!</v>
      </c>
      <c r="E9" s="29" t="str">
        <f>COUNTIFS('Pick by Pick Grades'!I:I,A9,'Pick by Pick Grades'!U:U,"&gt;49.9")/COUNTIF('Pick by Pick Grades'!I:I,A9)</f>
        <v>#DIV/0!</v>
      </c>
      <c r="F9" s="29" t="str">
        <f>COUNTIFS('Pick by Pick Grades'!I:I,A9,'Pick by Pick Grades'!U:U,"&lt;-49.9")/COUNTIF('Pick by Pick Grades'!I:I,A9)</f>
        <v>#DIV/0!</v>
      </c>
      <c r="G9" s="30" t="str">
        <f>COUNTIFS('Pick by Pick Grades'!I:I,A9,'Pick by Pick Grades'!U:U,"&gt;-49.9",'Pick by Pick Grades'!U:U,"&lt;49.9")/COUNTIF('Pick by Pick Grades'!I:I,A9)</f>
        <v>#DIV/0!</v>
      </c>
    </row>
    <row r="10">
      <c r="A10" s="26" t="s">
        <v>36</v>
      </c>
      <c r="B10" s="28">
        <f>SUMIF('Pick by Pick Grades'!I:I,A10,'Pick by Pick Grades'!J:J)</f>
        <v>0</v>
      </c>
      <c r="C10" s="28">
        <f>SUMIF('Pick by Pick Grades'!I:I,A10,'Pick by Pick Grades'!S:S)</f>
        <v>0</v>
      </c>
      <c r="D10" s="29" t="str">
        <f t="shared" si="1"/>
        <v>#DIV/0!</v>
      </c>
      <c r="E10" s="29" t="str">
        <f>COUNTIFS('Pick by Pick Grades'!I:I,A10,'Pick by Pick Grades'!U:U,"&gt;49.9")/COUNTIF('Pick by Pick Grades'!I:I,A10)</f>
        <v>#DIV/0!</v>
      </c>
      <c r="F10" s="29" t="str">
        <f>COUNTIFS('Pick by Pick Grades'!I:I,A10,'Pick by Pick Grades'!U:U,"&lt;-49.9")/COUNTIF('Pick by Pick Grades'!I:I,A10)</f>
        <v>#DIV/0!</v>
      </c>
      <c r="G10" s="30" t="str">
        <f>COUNTIFS('Pick by Pick Grades'!I:I,A10,'Pick by Pick Grades'!U:U,"&gt;-49.9",'Pick by Pick Grades'!U:U,"&lt;49.9")/COUNTIF('Pick by Pick Grades'!I:I,A10)</f>
        <v>#DIV/0!</v>
      </c>
    </row>
    <row r="11">
      <c r="A11" s="26" t="s">
        <v>120</v>
      </c>
      <c r="B11" s="28">
        <f>SUMIF('Pick by Pick Grades'!I:I,A11,'Pick by Pick Grades'!J:J)</f>
        <v>0</v>
      </c>
      <c r="C11" s="28">
        <f>SUMIF('Pick by Pick Grades'!I:I,A11,'Pick by Pick Grades'!S:S)</f>
        <v>0</v>
      </c>
      <c r="D11" s="29" t="str">
        <f t="shared" si="1"/>
        <v>#DIV/0!</v>
      </c>
      <c r="E11" s="29" t="str">
        <f>COUNTIFS('Pick by Pick Grades'!I:I,A11,'Pick by Pick Grades'!U:U,"&gt;49.9")/COUNTIF('Pick by Pick Grades'!I:I,A11)</f>
        <v>#DIV/0!</v>
      </c>
      <c r="F11" s="29" t="str">
        <f>COUNTIFS('Pick by Pick Grades'!I:I,A11,'Pick by Pick Grades'!U:U,"&lt;-49.9")/COUNTIF('Pick by Pick Grades'!I:I,A11)</f>
        <v>#DIV/0!</v>
      </c>
      <c r="G11" s="30" t="str">
        <f>COUNTIFS('Pick by Pick Grades'!I:I,A11,'Pick by Pick Grades'!U:U,"&gt;-49.9",'Pick by Pick Grades'!U:U,"&lt;49.9")/COUNTIF('Pick by Pick Grades'!I:I,A11)</f>
        <v>#DIV/0!</v>
      </c>
    </row>
    <row r="12">
      <c r="A12" s="26" t="s">
        <v>41</v>
      </c>
      <c r="B12" s="28">
        <f>SUMIF('Pick by Pick Grades'!I:I,A12,'Pick by Pick Grades'!J:J)</f>
        <v>0</v>
      </c>
      <c r="C12" s="28">
        <f>SUMIF('Pick by Pick Grades'!I:I,A12,'Pick by Pick Grades'!S:S)</f>
        <v>0</v>
      </c>
      <c r="D12" s="29" t="str">
        <f t="shared" si="1"/>
        <v>#DIV/0!</v>
      </c>
      <c r="E12" s="29" t="str">
        <f>COUNTIFS('Pick by Pick Grades'!I:I,A12,'Pick by Pick Grades'!U:U,"&gt;49.9")/COUNTIF('Pick by Pick Grades'!I:I,A12)</f>
        <v>#DIV/0!</v>
      </c>
      <c r="F12" s="29" t="str">
        <f>COUNTIFS('Pick by Pick Grades'!I:I,A12,'Pick by Pick Grades'!U:U,"&lt;-49.9")/COUNTIF('Pick by Pick Grades'!I:I,A12)</f>
        <v>#DIV/0!</v>
      </c>
      <c r="G12" s="30" t="str">
        <f>COUNTIFS('Pick by Pick Grades'!I:I,A12,'Pick by Pick Grades'!U:U,"&gt;-49.9",'Pick by Pick Grades'!U:U,"&lt;49.9")/COUNTIF('Pick by Pick Grades'!I:I,A12)</f>
        <v>#DIV/0!</v>
      </c>
    </row>
    <row r="13">
      <c r="A13" s="26" t="s">
        <v>27</v>
      </c>
      <c r="B13" s="28">
        <f>SUMIF('Pick by Pick Grades'!I:I,A13,'Pick by Pick Grades'!J:J)</f>
        <v>0</v>
      </c>
      <c r="C13" s="28">
        <f>SUMIF('Pick by Pick Grades'!I:I,A13,'Pick by Pick Grades'!S:S)</f>
        <v>0</v>
      </c>
      <c r="D13" s="29" t="str">
        <f t="shared" si="1"/>
        <v>#DIV/0!</v>
      </c>
      <c r="E13" s="29" t="str">
        <f>COUNTIFS('Pick by Pick Grades'!I:I,A13,'Pick by Pick Grades'!U:U,"&gt;49.9")/COUNTIF('Pick by Pick Grades'!I:I,A13)</f>
        <v>#DIV/0!</v>
      </c>
      <c r="F13" s="29" t="str">
        <f>COUNTIFS('Pick by Pick Grades'!I:I,A13,'Pick by Pick Grades'!U:U,"&lt;-49.9")/COUNTIF('Pick by Pick Grades'!I:I,A13)</f>
        <v>#DIV/0!</v>
      </c>
      <c r="G13" s="30" t="str">
        <f>COUNTIFS('Pick by Pick Grades'!I:I,A13,'Pick by Pick Grades'!U:U,"&gt;-49.9",'Pick by Pick Grades'!U:U,"&lt;49.9")/COUNTIF('Pick by Pick Grades'!I:I,A13)</f>
        <v>#DIV/0!</v>
      </c>
    </row>
    <row r="14">
      <c r="A14" s="26" t="s">
        <v>29</v>
      </c>
      <c r="B14" s="28">
        <f>SUMIF('Pick by Pick Grades'!I:I,A14,'Pick by Pick Grades'!J:J)</f>
        <v>0</v>
      </c>
      <c r="C14" s="28">
        <f>SUMIF('Pick by Pick Grades'!I:I,A14,'Pick by Pick Grades'!S:S)</f>
        <v>0</v>
      </c>
      <c r="D14" s="29" t="str">
        <f t="shared" si="1"/>
        <v>#DIV/0!</v>
      </c>
      <c r="E14" s="29" t="str">
        <f>COUNTIFS('Pick by Pick Grades'!I:I,A14,'Pick by Pick Grades'!U:U,"&gt;49.9")/COUNTIF('Pick by Pick Grades'!I:I,A14)</f>
        <v>#DIV/0!</v>
      </c>
      <c r="F14" s="29" t="str">
        <f>COUNTIFS('Pick by Pick Grades'!I:I,A14,'Pick by Pick Grades'!U:U,"&lt;-49.9")/COUNTIF('Pick by Pick Grades'!I:I,A14)</f>
        <v>#DIV/0!</v>
      </c>
      <c r="G14" s="30" t="str">
        <f>COUNTIFS('Pick by Pick Grades'!I:I,A14,'Pick by Pick Grades'!U:U,"&gt;-49.9",'Pick by Pick Grades'!U:U,"&lt;49.9")/COUNTIF('Pick by Pick Grades'!I:I,A14)</f>
        <v>#DIV/0!</v>
      </c>
    </row>
    <row r="15">
      <c r="A15" s="26" t="s">
        <v>51</v>
      </c>
      <c r="B15" s="28">
        <f>SUMIF('Pick by Pick Grades'!I:I,A15,'Pick by Pick Grades'!J:J)</f>
        <v>0</v>
      </c>
      <c r="C15" s="28">
        <f>SUMIF('Pick by Pick Grades'!I:I,A15,'Pick by Pick Grades'!S:S)</f>
        <v>0</v>
      </c>
      <c r="D15" s="29" t="str">
        <f t="shared" si="1"/>
        <v>#DIV/0!</v>
      </c>
      <c r="E15" s="29" t="str">
        <f>COUNTIFS('Pick by Pick Grades'!I:I,A15,'Pick by Pick Grades'!U:U,"&gt;49.9")/COUNTIF('Pick by Pick Grades'!I:I,A15)</f>
        <v>#DIV/0!</v>
      </c>
      <c r="F15" s="29" t="str">
        <f>COUNTIFS('Pick by Pick Grades'!I:I,A15,'Pick by Pick Grades'!U:U,"&lt;-49.9")/COUNTIF('Pick by Pick Grades'!I:I,A15)</f>
        <v>#DIV/0!</v>
      </c>
      <c r="G15" s="30" t="str">
        <f>COUNTIFS('Pick by Pick Grades'!I:I,A15,'Pick by Pick Grades'!U:U,"&gt;-49.9",'Pick by Pick Grades'!U:U,"&lt;49.9")/COUNTIF('Pick by Pick Grades'!I:I,A15)</f>
        <v>#DIV/0!</v>
      </c>
    </row>
    <row r="16">
      <c r="A16" s="26" t="s">
        <v>96</v>
      </c>
      <c r="B16" s="28">
        <f>SUMIF('Pick by Pick Grades'!I:I,A16,'Pick by Pick Grades'!J:J)</f>
        <v>0</v>
      </c>
      <c r="C16" s="28">
        <f>SUMIF('Pick by Pick Grades'!I:I,A16,'Pick by Pick Grades'!S:S)</f>
        <v>0</v>
      </c>
      <c r="D16" s="29" t="str">
        <f t="shared" si="1"/>
        <v>#DIV/0!</v>
      </c>
      <c r="E16" s="29" t="str">
        <f>COUNTIFS('Pick by Pick Grades'!I:I,A16,'Pick by Pick Grades'!U:U,"&gt;49.9")/COUNTIF('Pick by Pick Grades'!I:I,A16)</f>
        <v>#DIV/0!</v>
      </c>
      <c r="F16" s="29" t="str">
        <f>COUNTIFS('Pick by Pick Grades'!I:I,A16,'Pick by Pick Grades'!U:U,"&lt;-49.9")/COUNTIF('Pick by Pick Grades'!I:I,A16)</f>
        <v>#DIV/0!</v>
      </c>
      <c r="G16" s="30" t="str">
        <f>COUNTIFS('Pick by Pick Grades'!I:I,A16,'Pick by Pick Grades'!U:U,"&gt;-49.9",'Pick by Pick Grades'!U:U,"&lt;49.9")/COUNTIF('Pick by Pick Grades'!I:I,A16)</f>
        <v>#DIV/0!</v>
      </c>
    </row>
    <row r="17">
      <c r="A17" s="26" t="s">
        <v>99</v>
      </c>
      <c r="B17" s="28">
        <f>SUMIF('Pick by Pick Grades'!I:I,A17,'Pick by Pick Grades'!J:J)</f>
        <v>0</v>
      </c>
      <c r="C17" s="28">
        <f>SUMIF('Pick by Pick Grades'!I:I,A17,'Pick by Pick Grades'!S:S)</f>
        <v>0</v>
      </c>
      <c r="D17" s="29" t="str">
        <f t="shared" si="1"/>
        <v>#DIV/0!</v>
      </c>
      <c r="E17" s="29" t="str">
        <f>COUNTIFS('Pick by Pick Grades'!I:I,A17,'Pick by Pick Grades'!U:U,"&gt;49.9")/COUNTIF('Pick by Pick Grades'!I:I,A17)</f>
        <v>#DIV/0!</v>
      </c>
      <c r="F17" s="29" t="str">
        <f>COUNTIFS('Pick by Pick Grades'!I:I,A17,'Pick by Pick Grades'!U:U,"&lt;-49.9")/COUNTIF('Pick by Pick Grades'!I:I,A17)</f>
        <v>#DIV/0!</v>
      </c>
      <c r="G17" s="30" t="str">
        <f>COUNTIFS('Pick by Pick Grades'!I:I,A17,'Pick by Pick Grades'!U:U,"&gt;-49.9",'Pick by Pick Grades'!U:U,"&lt;49.9")/COUNTIF('Pick by Pick Grades'!I:I,A17)</f>
        <v>#DIV/0!</v>
      </c>
    </row>
    <row r="18">
      <c r="A18" s="26" t="s">
        <v>65</v>
      </c>
      <c r="B18" s="28">
        <f>SUMIF('Pick by Pick Grades'!I:I,A18,'Pick by Pick Grades'!J:J)</f>
        <v>0</v>
      </c>
      <c r="C18" s="28">
        <f>SUMIF('Pick by Pick Grades'!I:I,A18,'Pick by Pick Grades'!S:S)</f>
        <v>0</v>
      </c>
      <c r="D18" s="29" t="str">
        <f t="shared" si="1"/>
        <v>#DIV/0!</v>
      </c>
      <c r="E18" s="29" t="str">
        <f>COUNTIFS('Pick by Pick Grades'!I:I,A18,'Pick by Pick Grades'!U:U,"&gt;49.9")/COUNTIF('Pick by Pick Grades'!I:I,A18)</f>
        <v>#DIV/0!</v>
      </c>
      <c r="F18" s="29" t="str">
        <f>COUNTIFS('Pick by Pick Grades'!I:I,A18,'Pick by Pick Grades'!U:U,"&lt;-49.9")/COUNTIF('Pick by Pick Grades'!I:I,A18)</f>
        <v>#DIV/0!</v>
      </c>
      <c r="G18" s="30" t="str">
        <f>COUNTIFS('Pick by Pick Grades'!I:I,A18,'Pick by Pick Grades'!U:U,"&gt;-49.9",'Pick by Pick Grades'!U:U,"&lt;49.9")/COUNTIF('Pick by Pick Grades'!I:I,A18)</f>
        <v>#DIV/0!</v>
      </c>
    </row>
    <row r="19">
      <c r="A19" s="26" t="s">
        <v>71</v>
      </c>
      <c r="B19" s="28">
        <f>SUMIF('Pick by Pick Grades'!I:I,A19,'Pick by Pick Grades'!J:J)</f>
        <v>0</v>
      </c>
      <c r="C19" s="28">
        <f>SUMIF('Pick by Pick Grades'!I:I,A19,'Pick by Pick Grades'!S:S)</f>
        <v>0</v>
      </c>
      <c r="D19" s="29" t="str">
        <f t="shared" si="1"/>
        <v>#DIV/0!</v>
      </c>
      <c r="E19" s="29" t="str">
        <f>COUNTIFS('Pick by Pick Grades'!I:I,A19,'Pick by Pick Grades'!U:U,"&gt;49.9")/COUNTIF('Pick by Pick Grades'!I:I,A19)</f>
        <v>#DIV/0!</v>
      </c>
      <c r="F19" s="29" t="str">
        <f>COUNTIFS('Pick by Pick Grades'!I:I,A19,'Pick by Pick Grades'!U:U,"&lt;-49.9")/COUNTIF('Pick by Pick Grades'!I:I,A19)</f>
        <v>#DIV/0!</v>
      </c>
      <c r="G19" s="30" t="str">
        <f>COUNTIFS('Pick by Pick Grades'!I:I,A19,'Pick by Pick Grades'!U:U,"&gt;-49.9",'Pick by Pick Grades'!U:U,"&lt;49.9")/COUNTIF('Pick by Pick Grades'!I:I,A19)</f>
        <v>#DIV/0!</v>
      </c>
    </row>
    <row r="20">
      <c r="A20" s="26" t="s">
        <v>103</v>
      </c>
      <c r="B20" s="28">
        <f>SUMIF('Pick by Pick Grades'!I:I,A20,'Pick by Pick Grades'!J:J)</f>
        <v>0</v>
      </c>
      <c r="C20" s="28">
        <f>SUMIF('Pick by Pick Grades'!I:I,A20,'Pick by Pick Grades'!S:S)</f>
        <v>0</v>
      </c>
      <c r="D20" s="29" t="str">
        <f t="shared" si="1"/>
        <v>#DIV/0!</v>
      </c>
      <c r="E20" s="29" t="str">
        <f>COUNTIFS('Pick by Pick Grades'!I:I,A20,'Pick by Pick Grades'!U:U,"&gt;49.9")/COUNTIF('Pick by Pick Grades'!I:I,A20)</f>
        <v>#DIV/0!</v>
      </c>
      <c r="F20" s="29" t="str">
        <f>COUNTIFS('Pick by Pick Grades'!I:I,A20,'Pick by Pick Grades'!U:U,"&lt;-49.9")/COUNTIF('Pick by Pick Grades'!I:I,A20)</f>
        <v>#DIV/0!</v>
      </c>
      <c r="G20" s="30" t="str">
        <f>COUNTIFS('Pick by Pick Grades'!I:I,A20,'Pick by Pick Grades'!U:U,"&gt;-49.9",'Pick by Pick Grades'!U:U,"&lt;49.9")/COUNTIF('Pick by Pick Grades'!I:I,A20)</f>
        <v>#DIV/0!</v>
      </c>
    </row>
    <row r="21">
      <c r="A21" s="26" t="s">
        <v>108</v>
      </c>
      <c r="B21" s="28">
        <f>SUMIF('Pick by Pick Grades'!I:I,A21,'Pick by Pick Grades'!J:J)</f>
        <v>0</v>
      </c>
      <c r="C21" s="28">
        <f>SUMIF('Pick by Pick Grades'!I:I,A21,'Pick by Pick Grades'!S:S)</f>
        <v>0</v>
      </c>
      <c r="D21" s="29" t="str">
        <f t="shared" si="1"/>
        <v>#DIV/0!</v>
      </c>
      <c r="E21" s="29" t="str">
        <f>COUNTIFS('Pick by Pick Grades'!I:I,A21,'Pick by Pick Grades'!U:U,"&gt;49.9")/COUNTIF('Pick by Pick Grades'!I:I,A21)</f>
        <v>#DIV/0!</v>
      </c>
      <c r="F21" s="29" t="str">
        <f>COUNTIFS('Pick by Pick Grades'!I:I,A21,'Pick by Pick Grades'!U:U,"&lt;-49.9")/COUNTIF('Pick by Pick Grades'!I:I,A21)</f>
        <v>#DIV/0!</v>
      </c>
      <c r="G21" s="30" t="str">
        <f>COUNTIFS('Pick by Pick Grades'!I:I,A21,'Pick by Pick Grades'!U:U,"&gt;-49.9",'Pick by Pick Grades'!U:U,"&lt;49.9")/COUNTIF('Pick by Pick Grades'!I:I,A21)</f>
        <v>#DIV/0!</v>
      </c>
    </row>
    <row r="22">
      <c r="A22" s="26" t="s">
        <v>20</v>
      </c>
      <c r="B22" s="28">
        <f>SUMIF('Pick by Pick Grades'!I:I,A22,'Pick by Pick Grades'!J:J)</f>
        <v>0</v>
      </c>
      <c r="C22" s="28">
        <f>SUMIF('Pick by Pick Grades'!I:I,A22,'Pick by Pick Grades'!S:S)</f>
        <v>0</v>
      </c>
      <c r="D22" s="29" t="str">
        <f t="shared" si="1"/>
        <v>#DIV/0!</v>
      </c>
      <c r="E22" s="29" t="str">
        <f>COUNTIFS('Pick by Pick Grades'!I:I,A22,'Pick by Pick Grades'!U:U,"&gt;49.9")/COUNTIF('Pick by Pick Grades'!I:I,A22)</f>
        <v>#DIV/0!</v>
      </c>
      <c r="F22" s="29" t="str">
        <f>COUNTIFS('Pick by Pick Grades'!I:I,A22,'Pick by Pick Grades'!U:U,"&lt;-49.9")/COUNTIF('Pick by Pick Grades'!I:I,A22)</f>
        <v>#DIV/0!</v>
      </c>
      <c r="G22" s="30" t="str">
        <f>COUNTIFS('Pick by Pick Grades'!I:I,A22,'Pick by Pick Grades'!U:U,"&gt;-49.9",'Pick by Pick Grades'!U:U,"&lt;49.9")/COUNTIF('Pick by Pick Grades'!I:I,A22)</f>
        <v>#DIV/0!</v>
      </c>
    </row>
    <row r="23">
      <c r="A23" s="26" t="s">
        <v>60</v>
      </c>
      <c r="B23" s="28">
        <f>SUMIF('Pick by Pick Grades'!I:I,A23,'Pick by Pick Grades'!J:J)</f>
        <v>0</v>
      </c>
      <c r="C23" s="28">
        <f>SUMIF('Pick by Pick Grades'!I:I,A23,'Pick by Pick Grades'!S:S)</f>
        <v>0</v>
      </c>
      <c r="D23" s="29" t="str">
        <f t="shared" si="1"/>
        <v>#DIV/0!</v>
      </c>
      <c r="E23" s="29" t="str">
        <f>COUNTIFS('Pick by Pick Grades'!I:I,A23,'Pick by Pick Grades'!U:U,"&gt;49.9")/COUNTIF('Pick by Pick Grades'!I:I,A23)</f>
        <v>#DIV/0!</v>
      </c>
      <c r="F23" s="29" t="str">
        <f>COUNTIFS('Pick by Pick Grades'!I:I,A23,'Pick by Pick Grades'!U:U,"&lt;-49.9")/COUNTIF('Pick by Pick Grades'!I:I,A23)</f>
        <v>#DIV/0!</v>
      </c>
      <c r="G23" s="30" t="str">
        <f>COUNTIFS('Pick by Pick Grades'!I:I,A23,'Pick by Pick Grades'!U:U,"&gt;-49.9",'Pick by Pick Grades'!U:U,"&lt;49.9")/COUNTIF('Pick by Pick Grades'!I:I,A23)</f>
        <v>#DIV/0!</v>
      </c>
    </row>
    <row r="24">
      <c r="A24" s="26" t="s">
        <v>92</v>
      </c>
      <c r="B24" s="28">
        <f>SUMIF('Pick by Pick Grades'!I:I,A24,'Pick by Pick Grades'!J:J)</f>
        <v>0</v>
      </c>
      <c r="C24" s="28">
        <f>SUMIF('Pick by Pick Grades'!I:I,A24,'Pick by Pick Grades'!S:S)</f>
        <v>0</v>
      </c>
      <c r="D24" s="29" t="str">
        <f t="shared" si="1"/>
        <v>#DIV/0!</v>
      </c>
      <c r="E24" s="29" t="str">
        <f>COUNTIFS('Pick by Pick Grades'!I:I,A24,'Pick by Pick Grades'!U:U,"&gt;49.9")/COUNTIF('Pick by Pick Grades'!I:I,A24)</f>
        <v>#DIV/0!</v>
      </c>
      <c r="F24" s="29" t="str">
        <f>COUNTIFS('Pick by Pick Grades'!I:I,A24,'Pick by Pick Grades'!U:U,"&lt;-49.9")/COUNTIF('Pick by Pick Grades'!I:I,A24)</f>
        <v>#DIV/0!</v>
      </c>
      <c r="G24" s="30" t="str">
        <f>COUNTIFS('Pick by Pick Grades'!I:I,A24,'Pick by Pick Grades'!U:U,"&gt;-49.9",'Pick by Pick Grades'!U:U,"&lt;49.9")/COUNTIF('Pick by Pick Grades'!I:I,A24)</f>
        <v>#DIV/0!</v>
      </c>
    </row>
    <row r="25">
      <c r="A25" s="26" t="s">
        <v>94</v>
      </c>
      <c r="B25" s="28">
        <f>SUMIF('Pick by Pick Grades'!I:I,A25,'Pick by Pick Grades'!J:J)</f>
        <v>0</v>
      </c>
      <c r="C25" s="28">
        <f>SUMIF('Pick by Pick Grades'!I:I,A25,'Pick by Pick Grades'!S:S)</f>
        <v>0</v>
      </c>
      <c r="D25" s="29" t="str">
        <f t="shared" si="1"/>
        <v>#DIV/0!</v>
      </c>
      <c r="E25" s="29" t="str">
        <f>COUNTIFS('Pick by Pick Grades'!I:I,A25,'Pick by Pick Grades'!U:U,"&gt;49.9")/COUNTIF('Pick by Pick Grades'!I:I,A25)</f>
        <v>#DIV/0!</v>
      </c>
      <c r="F25" s="29" t="str">
        <f>COUNTIFS('Pick by Pick Grades'!I:I,A25,'Pick by Pick Grades'!U:U,"&lt;-49.9")/COUNTIF('Pick by Pick Grades'!I:I,A25)</f>
        <v>#DIV/0!</v>
      </c>
      <c r="G25" s="30" t="str">
        <f>COUNTIFS('Pick by Pick Grades'!I:I,A25,'Pick by Pick Grades'!U:U,"&gt;-49.9",'Pick by Pick Grades'!U:U,"&lt;49.9")/COUNTIF('Pick by Pick Grades'!I:I,A25)</f>
        <v>#DIV/0!</v>
      </c>
    </row>
    <row r="26">
      <c r="A26" s="26" t="s">
        <v>78</v>
      </c>
      <c r="B26" s="28">
        <f>SUMIF('Pick by Pick Grades'!I:I,A26,'Pick by Pick Grades'!J:J)</f>
        <v>0</v>
      </c>
      <c r="C26" s="28">
        <f>SUMIF('Pick by Pick Grades'!I:I,A26,'Pick by Pick Grades'!S:S)</f>
        <v>0</v>
      </c>
      <c r="D26" s="29" t="str">
        <f t="shared" si="1"/>
        <v>#DIV/0!</v>
      </c>
      <c r="E26" s="29" t="str">
        <f>COUNTIFS('Pick by Pick Grades'!I:I,A26,'Pick by Pick Grades'!U:U,"&gt;49.9")/COUNTIF('Pick by Pick Grades'!I:I,A26)</f>
        <v>#DIV/0!</v>
      </c>
      <c r="F26" s="29" t="str">
        <f>COUNTIFS('Pick by Pick Grades'!I:I,A26,'Pick by Pick Grades'!U:U,"&lt;-49.9")/COUNTIF('Pick by Pick Grades'!I:I,A26)</f>
        <v>#DIV/0!</v>
      </c>
      <c r="G26" s="30" t="str">
        <f>COUNTIFS('Pick by Pick Grades'!I:I,A26,'Pick by Pick Grades'!U:U,"&gt;-49.9",'Pick by Pick Grades'!U:U,"&lt;49.9")/COUNTIF('Pick by Pick Grades'!I:I,A26)</f>
        <v>#DIV/0!</v>
      </c>
    </row>
    <row r="27">
      <c r="A27" s="26" t="s">
        <v>105</v>
      </c>
      <c r="B27" s="28">
        <f>SUMIF('Pick by Pick Grades'!I:I,A27,'Pick by Pick Grades'!J:J)</f>
        <v>0</v>
      </c>
      <c r="C27" s="28">
        <f>SUMIF('Pick by Pick Grades'!I:I,A27,'Pick by Pick Grades'!S:S)</f>
        <v>0</v>
      </c>
      <c r="D27" s="29" t="str">
        <f t="shared" si="1"/>
        <v>#DIV/0!</v>
      </c>
      <c r="E27" s="29" t="str">
        <f>COUNTIFS('Pick by Pick Grades'!I:I,A27,'Pick by Pick Grades'!U:U,"&gt;49.9")/COUNTIF('Pick by Pick Grades'!I:I,A27)</f>
        <v>#DIV/0!</v>
      </c>
      <c r="F27" s="29" t="str">
        <f>COUNTIFS('Pick by Pick Grades'!I:I,A27,'Pick by Pick Grades'!U:U,"&lt;-49.9")/COUNTIF('Pick by Pick Grades'!I:I,A27)</f>
        <v>#DIV/0!</v>
      </c>
      <c r="G27" s="30" t="str">
        <f>COUNTIFS('Pick by Pick Grades'!I:I,A27,'Pick by Pick Grades'!U:U,"&gt;-49.9",'Pick by Pick Grades'!U:U,"&lt;49.9")/COUNTIF('Pick by Pick Grades'!I:I,A27)</f>
        <v>#DIV/0!</v>
      </c>
    </row>
    <row r="28">
      <c r="A28" s="26" t="s">
        <v>173</v>
      </c>
      <c r="B28" s="28">
        <f>SUMIF('Pick by Pick Grades'!I:I,A28,'Pick by Pick Grades'!J:J)</f>
        <v>0</v>
      </c>
      <c r="C28" s="28">
        <f>SUMIF('Pick by Pick Grades'!I:I,A28,'Pick by Pick Grades'!S:S)</f>
        <v>0</v>
      </c>
      <c r="D28" s="29" t="str">
        <f t="shared" si="1"/>
        <v>#DIV/0!</v>
      </c>
      <c r="E28" s="29" t="str">
        <f>COUNTIFS('Pick by Pick Grades'!I:I,A28,'Pick by Pick Grades'!U:U,"&gt;49.9")/COUNTIF('Pick by Pick Grades'!I:I,A28)</f>
        <v>#DIV/0!</v>
      </c>
      <c r="F28" s="29" t="str">
        <f>COUNTIFS('Pick by Pick Grades'!I:I,A28,'Pick by Pick Grades'!U:U,"&lt;-49.9")/COUNTIF('Pick by Pick Grades'!I:I,A28)</f>
        <v>#DIV/0!</v>
      </c>
      <c r="G28" s="30" t="str">
        <f>COUNTIFS('Pick by Pick Grades'!I:I,A28,'Pick by Pick Grades'!U:U,"&gt;-49.9",'Pick by Pick Grades'!U:U,"&lt;49.9")/COUNTIF('Pick by Pick Grades'!I:I,A28)</f>
        <v>#DIV/0!</v>
      </c>
    </row>
    <row r="29">
      <c r="A29" s="26" t="s">
        <v>115</v>
      </c>
      <c r="B29" s="28">
        <f>SUMIF('Pick by Pick Grades'!I:I,A29,'Pick by Pick Grades'!J:J)</f>
        <v>0</v>
      </c>
      <c r="C29" s="28">
        <f>SUMIF('Pick by Pick Grades'!I:I,A29,'Pick by Pick Grades'!S:S)</f>
        <v>0</v>
      </c>
      <c r="D29" s="29" t="str">
        <f t="shared" si="1"/>
        <v>#DIV/0!</v>
      </c>
      <c r="E29" s="29" t="str">
        <f>COUNTIFS('Pick by Pick Grades'!I:I,A29,'Pick by Pick Grades'!U:U,"&gt;49.9")/COUNTIF('Pick by Pick Grades'!I:I,A29)</f>
        <v>#DIV/0!</v>
      </c>
      <c r="F29" s="29" t="str">
        <f>COUNTIFS('Pick by Pick Grades'!I:I,A29,'Pick by Pick Grades'!U:U,"&lt;-49.9")/COUNTIF('Pick by Pick Grades'!I:I,A29)</f>
        <v>#DIV/0!</v>
      </c>
      <c r="G29" s="30" t="str">
        <f>COUNTIFS('Pick by Pick Grades'!I:I,A29,'Pick by Pick Grades'!U:U,"&gt;-49.9",'Pick by Pick Grades'!U:U,"&lt;49.9")/COUNTIF('Pick by Pick Grades'!I:I,A29)</f>
        <v>#DIV/0!</v>
      </c>
    </row>
    <row r="30">
      <c r="A30" s="26" t="s">
        <v>33</v>
      </c>
      <c r="B30" s="28">
        <f>SUMIF('Pick by Pick Grades'!I:I,A30,'Pick by Pick Grades'!J:J)</f>
        <v>0</v>
      </c>
      <c r="C30" s="28">
        <f>SUMIF('Pick by Pick Grades'!I:I,A30,'Pick by Pick Grades'!S:S)</f>
        <v>0</v>
      </c>
      <c r="D30" s="29" t="str">
        <f t="shared" si="1"/>
        <v>#DIV/0!</v>
      </c>
      <c r="E30" s="29" t="str">
        <f>COUNTIFS('Pick by Pick Grades'!I:I,A30,'Pick by Pick Grades'!U:U,"&gt;49.9")/COUNTIF('Pick by Pick Grades'!I:I,A30)</f>
        <v>#DIV/0!</v>
      </c>
      <c r="F30" s="29" t="str">
        <f>COUNTIFS('Pick by Pick Grades'!I:I,A30,'Pick by Pick Grades'!U:U,"&lt;-49.9")/COUNTIF('Pick by Pick Grades'!I:I,A30)</f>
        <v>#DIV/0!</v>
      </c>
      <c r="G30" s="30" t="str">
        <f>COUNTIFS('Pick by Pick Grades'!I:I,A30,'Pick by Pick Grades'!U:U,"&gt;-49.9",'Pick by Pick Grades'!U:U,"&lt;49.9")/COUNTIF('Pick by Pick Grades'!I:I,A30)</f>
        <v>#DIV/0!</v>
      </c>
    </row>
    <row r="31">
      <c r="A31" s="26" t="s">
        <v>195</v>
      </c>
      <c r="B31" s="28">
        <f>SUMIF('Pick by Pick Grades'!I:I,A31,'Pick by Pick Grades'!J:J)</f>
        <v>0</v>
      </c>
      <c r="C31" s="28">
        <f>SUMIF('Pick by Pick Grades'!I:I,A31,'Pick by Pick Grades'!S:S)</f>
        <v>0</v>
      </c>
      <c r="D31" s="29" t="str">
        <f t="shared" si="1"/>
        <v>#DIV/0!</v>
      </c>
      <c r="E31" s="29" t="str">
        <f>COUNTIFS('Pick by Pick Grades'!I:I,A31,'Pick by Pick Grades'!U:U,"&gt;49.9")/COUNTIF('Pick by Pick Grades'!I:I,A31)</f>
        <v>#DIV/0!</v>
      </c>
      <c r="F31" s="29" t="str">
        <f>COUNTIFS('Pick by Pick Grades'!I:I,A31,'Pick by Pick Grades'!U:U,"&lt;-49.9")/COUNTIF('Pick by Pick Grades'!I:I,A31)</f>
        <v>#DIV/0!</v>
      </c>
      <c r="G31" s="30" t="str">
        <f>COUNTIFS('Pick by Pick Grades'!I:I,A31,'Pick by Pick Grades'!U:U,"&gt;-49.9",'Pick by Pick Grades'!U:U,"&lt;49.9")/COUNTIF('Pick by Pick Grades'!I:I,A31)</f>
        <v>#DIV/0!</v>
      </c>
    </row>
    <row r="32">
      <c r="A32" s="26" t="s">
        <v>110</v>
      </c>
      <c r="B32" s="28">
        <f>SUMIF('Pick by Pick Grades'!I:I,A32,'Pick by Pick Grades'!J:J)</f>
        <v>0</v>
      </c>
      <c r="C32" s="28">
        <f>SUMIF('Pick by Pick Grades'!I:I,A32,'Pick by Pick Grades'!S:S)</f>
        <v>0</v>
      </c>
      <c r="D32" s="29" t="str">
        <f t="shared" si="1"/>
        <v>#DIV/0!</v>
      </c>
      <c r="E32" s="29" t="str">
        <f>COUNTIFS('Pick by Pick Grades'!I:I,A32,'Pick by Pick Grades'!U:U,"&gt;49.9")/COUNTIF('Pick by Pick Grades'!I:I,A32)</f>
        <v>#DIV/0!</v>
      </c>
      <c r="F32" s="29" t="str">
        <f>COUNTIFS('Pick by Pick Grades'!I:I,A32,'Pick by Pick Grades'!U:U,"&lt;-49.9")/COUNTIF('Pick by Pick Grades'!I:I,A32)</f>
        <v>#DIV/0!</v>
      </c>
      <c r="G32" s="30" t="str">
        <f>COUNTIFS('Pick by Pick Grades'!I:I,A32,'Pick by Pick Grades'!U:U,"&gt;-49.9",'Pick by Pick Grades'!U:U,"&lt;49.9")/COUNTIF('Pick by Pick Grades'!I:I,A32)</f>
        <v>#DIV/0!</v>
      </c>
    </row>
    <row r="33">
      <c r="A33" s="26" t="s">
        <v>89</v>
      </c>
      <c r="B33" s="28">
        <f>SUMIF('Pick by Pick Grades'!I:I,A33,'Pick by Pick Grades'!J:J)</f>
        <v>0</v>
      </c>
      <c r="C33" s="28">
        <f>SUMIF('Pick by Pick Grades'!I:I,A33,'Pick by Pick Grades'!S:S)</f>
        <v>0</v>
      </c>
      <c r="D33" s="29" t="str">
        <f t="shared" si="1"/>
        <v>#DIV/0!</v>
      </c>
      <c r="E33" s="29" t="str">
        <f>COUNTIFS('Pick by Pick Grades'!I:I,A33,'Pick by Pick Grades'!U:U,"&gt;49.9")/COUNTIF('Pick by Pick Grades'!I:I,A33)</f>
        <v>#DIV/0!</v>
      </c>
      <c r="F33" s="29" t="str">
        <f>COUNTIFS('Pick by Pick Grades'!I:I,A33,'Pick by Pick Grades'!U:U,"&lt;-49.9")/COUNTIF('Pick by Pick Grades'!I:I,A33)</f>
        <v>#DIV/0!</v>
      </c>
      <c r="G33" s="30" t="str">
        <f>COUNTIFS('Pick by Pick Grades'!I:I,A33,'Pick by Pick Grades'!U:U,"&gt;-49.9",'Pick by Pick Grades'!U:U,"&lt;49.9")/COUNTIF('Pick by Pick Grades'!I:I,A33)</f>
        <v>#DIV/0!</v>
      </c>
    </row>
  </sheetData>
  <autoFilter ref="$A$1:$G$33">
    <sortState ref="A1:G33">
      <sortCondition descending="1" ref="D1:D33"/>
    </sortState>
  </autoFilter>
  <drawing r:id="rId1"/>
</worksheet>
</file>